
<file path=[Content_Types].xml><?xml version="1.0" encoding="utf-8"?>
<Types xmlns="http://schemas.openxmlformats.org/package/2006/content-types">
  <Default Extension="bin" ContentType="application/vnd.openxmlformats-officedocument.spreadsheetml.printerSettings"/>
  <Default Extension="emf" ContentType="image/x-emf"/>
  <Default Extension="jfif"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mc:AlternateContent xmlns:mc="http://schemas.openxmlformats.org/markup-compatibility/2006">
    <mc:Choice Requires="x15">
      <x15ac:absPath xmlns:x15ac="http://schemas.microsoft.com/office/spreadsheetml/2010/11/ac" url="/Users/imanekharbouche/Library/Mobile Documents/com~apple~CloudDocs/startbootstrap-personal-gh-pages/assets/projets/excel_vba/"/>
    </mc:Choice>
  </mc:AlternateContent>
  <xr:revisionPtr revIDLastSave="0" documentId="13_ncr:1_{8F83B866-5739-404C-866D-F37ACE9BE3FF}" xr6:coauthVersionLast="47" xr6:coauthVersionMax="47" xr10:uidLastSave="{00000000-0000-0000-0000-000000000000}"/>
  <bookViews>
    <workbookView xWindow="0" yWindow="0" windowWidth="33600" windowHeight="21000" tabRatio="953" firstSheet="4" activeTab="4" xr2:uid="{00000000-000D-0000-FFFF-FFFF00000000}"/>
  </bookViews>
  <sheets>
    <sheet name="etudiant" sheetId="4" r:id="rId1"/>
    <sheet name="Base de données" sheetId="20" r:id="rId2"/>
    <sheet name="Semestre 1" sheetId="1" r:id="rId3"/>
    <sheet name="Semestre 2" sheetId="2" r:id="rId4"/>
    <sheet name="rech_etu_infos" sheetId="3" r:id="rId5"/>
    <sheet name="BD_etu_notes_S1_C1" sheetId="5" r:id="rId6"/>
    <sheet name="BD_etu_notes_S1_C2" sheetId="21" r:id="rId7"/>
    <sheet name="BD_etu_notes_S1_C3" sheetId="22" r:id="rId8"/>
    <sheet name="BD_etu_notes_S2_C1" sheetId="23" r:id="rId9"/>
    <sheet name="BD_etu_notes_S2_C2" sheetId="24" r:id="rId10"/>
    <sheet name="BD_etu_notes_S2_C3" sheetId="25" r:id="rId11"/>
    <sheet name="menu_eleve" sheetId="19" r:id="rId12"/>
    <sheet name="menu_demarage" sheetId="26" r:id="rId13"/>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4" i="25" l="1"/>
  <c r="E85" i="25"/>
  <c r="E86" i="25"/>
  <c r="E87" i="25"/>
  <c r="E88" i="25"/>
  <c r="E89" i="25"/>
  <c r="E90" i="25"/>
  <c r="E91" i="25"/>
  <c r="E104" i="24"/>
  <c r="E105" i="24"/>
  <c r="E106" i="24"/>
  <c r="E107" i="24"/>
  <c r="E108" i="24"/>
  <c r="E109" i="24"/>
  <c r="E110" i="24"/>
  <c r="E111" i="24"/>
  <c r="E112" i="24"/>
  <c r="E113" i="24"/>
  <c r="E94" i="23"/>
  <c r="E95" i="23"/>
  <c r="E96" i="23"/>
  <c r="E97" i="23"/>
  <c r="E98" i="23"/>
  <c r="E99" i="23"/>
  <c r="E100" i="23"/>
  <c r="E101" i="23"/>
  <c r="E102" i="23"/>
  <c r="E74" i="22"/>
  <c r="E75" i="22"/>
  <c r="E76" i="22"/>
  <c r="E77" i="22"/>
  <c r="E78" i="22"/>
  <c r="E79" i="22"/>
  <c r="E80" i="22"/>
  <c r="E54" i="21"/>
  <c r="E55" i="21"/>
  <c r="E56" i="21"/>
  <c r="E57" i="21"/>
  <c r="E58" i="21"/>
  <c r="E64" i="5"/>
  <c r="E65" i="5"/>
  <c r="E66" i="5"/>
  <c r="E67" i="5"/>
  <c r="E68" i="5"/>
  <c r="E69" i="5"/>
  <c r="G3" i="20"/>
  <c r="G4" i="20"/>
  <c r="G5" i="20"/>
  <c r="G6" i="20"/>
  <c r="G7" i="20"/>
  <c r="G8" i="20"/>
  <c r="G9" i="20"/>
  <c r="G10" i="20"/>
  <c r="G11" i="20"/>
  <c r="G12" i="20"/>
  <c r="G13" i="20"/>
  <c r="G14" i="20"/>
  <c r="G15" i="20"/>
  <c r="G16" i="20"/>
  <c r="G17" i="20"/>
  <c r="G18" i="20"/>
  <c r="G19" i="20"/>
  <c r="G20" i="20"/>
  <c r="G21" i="20"/>
  <c r="G22" i="20"/>
  <c r="G23" i="20"/>
  <c r="G24" i="20"/>
  <c r="G25" i="20"/>
  <c r="G26" i="20"/>
  <c r="G27" i="20"/>
  <c r="G28" i="20"/>
  <c r="G29" i="20"/>
  <c r="G30" i="20"/>
  <c r="G31" i="20"/>
  <c r="G32" i="20"/>
  <c r="G33" i="20"/>
  <c r="G34" i="20"/>
  <c r="G35" i="20"/>
  <c r="G36" i="20"/>
  <c r="G37" i="20"/>
  <c r="G38" i="20"/>
  <c r="G39" i="20"/>
  <c r="G40" i="20"/>
  <c r="G41"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78" i="20"/>
  <c r="G79" i="20"/>
  <c r="G80" i="20"/>
  <c r="G81" i="20"/>
  <c r="G82" i="20"/>
  <c r="G83" i="20"/>
  <c r="G84" i="20"/>
  <c r="G85" i="20"/>
  <c r="G86" i="20"/>
  <c r="G87" i="20"/>
  <c r="G88" i="20"/>
  <c r="G89" i="20"/>
  <c r="G90" i="20"/>
  <c r="G91" i="20"/>
  <c r="G92" i="20"/>
  <c r="G93" i="20"/>
  <c r="G94" i="20"/>
  <c r="G95" i="20"/>
  <c r="G96" i="20"/>
  <c r="G97" i="20"/>
  <c r="G98" i="20"/>
  <c r="G99" i="20"/>
  <c r="G100" i="20"/>
  <c r="G101" i="20"/>
  <c r="G102" i="20"/>
  <c r="G103" i="20"/>
  <c r="G104" i="20"/>
  <c r="G105" i="20"/>
  <c r="G106" i="20"/>
  <c r="G107" i="20"/>
  <c r="G108" i="20"/>
  <c r="G109" i="20"/>
  <c r="G110" i="20"/>
  <c r="G111" i="20"/>
  <c r="G112" i="20"/>
  <c r="G113" i="20"/>
  <c r="G114" i="20"/>
  <c r="G115" i="20"/>
  <c r="G116" i="20"/>
  <c r="G117" i="20"/>
  <c r="G118" i="20"/>
  <c r="G119" i="20"/>
  <c r="G120" i="20"/>
  <c r="G121" i="20"/>
  <c r="G122" i="20"/>
  <c r="G123" i="20"/>
  <c r="G124" i="20"/>
  <c r="G125" i="20"/>
  <c r="G126" i="20"/>
  <c r="G127" i="20"/>
  <c r="G128" i="20"/>
  <c r="G129" i="20"/>
  <c r="G130" i="20"/>
  <c r="G131" i="20"/>
  <c r="G132" i="20"/>
  <c r="G133" i="20"/>
  <c r="G134" i="20"/>
  <c r="G135" i="20"/>
  <c r="G136" i="20"/>
  <c r="G137" i="20"/>
  <c r="G138" i="20"/>
  <c r="G139" i="20"/>
  <c r="G140" i="20"/>
  <c r="G141" i="20"/>
  <c r="G142" i="20"/>
  <c r="G143" i="20"/>
  <c r="G144" i="20"/>
  <c r="G145" i="20"/>
  <c r="G146" i="20"/>
  <c r="G147" i="20"/>
  <c r="G148" i="20"/>
  <c r="G149" i="20"/>
  <c r="G150" i="20"/>
  <c r="G151" i="20"/>
  <c r="G152" i="20"/>
  <c r="G153" i="20"/>
  <c r="G154" i="20"/>
  <c r="G155" i="20"/>
  <c r="G2" i="20"/>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E2" i="4"/>
  <c r="E3" i="4"/>
  <c r="E4" i="4"/>
  <c r="E5" i="4"/>
  <c r="E6" i="4"/>
  <c r="E7" i="4"/>
  <c r="E8" i="4"/>
  <c r="E9" i="4"/>
  <c r="E10" i="4"/>
  <c r="E11" i="4"/>
  <c r="E12" i="4"/>
  <c r="E13" i="25" l="1"/>
  <c r="E13" i="24"/>
  <c r="E13" i="23"/>
  <c r="E13" i="22"/>
  <c r="E13" i="21"/>
  <c r="E63" i="5"/>
  <c r="E12" i="25"/>
  <c r="E12" i="24"/>
  <c r="E12" i="23"/>
  <c r="E12" i="22"/>
  <c r="E12" i="21"/>
  <c r="E62" i="5"/>
  <c r="E11" i="25"/>
  <c r="E11" i="24"/>
  <c r="E11" i="23"/>
  <c r="E11" i="22"/>
  <c r="E11" i="21"/>
  <c r="E61" i="5"/>
  <c r="E10" i="25"/>
  <c r="E10" i="24"/>
  <c r="E10" i="23"/>
  <c r="E10" i="22"/>
  <c r="E10" i="21"/>
  <c r="E60" i="5"/>
  <c r="E9" i="25"/>
  <c r="E9" i="24"/>
  <c r="E9" i="23"/>
  <c r="E9" i="22"/>
  <c r="E9" i="21"/>
  <c r="E59" i="5"/>
  <c r="E8" i="25"/>
  <c r="E8" i="24"/>
  <c r="E8" i="23"/>
  <c r="E8" i="22"/>
  <c r="E8" i="21"/>
  <c r="E58" i="5"/>
  <c r="E7" i="25"/>
  <c r="E7" i="24"/>
  <c r="E7" i="23"/>
  <c r="E7" i="22"/>
  <c r="E7" i="21"/>
  <c r="E57" i="5"/>
  <c r="E6" i="25"/>
  <c r="E6" i="24"/>
  <c r="E6" i="23"/>
  <c r="E6" i="22"/>
  <c r="E6" i="21"/>
  <c r="E56" i="5"/>
  <c r="E5" i="25"/>
  <c r="E5" i="24"/>
  <c r="E5" i="23"/>
  <c r="E5" i="22"/>
  <c r="E5" i="21"/>
  <c r="E55" i="5"/>
  <c r="E4" i="25"/>
  <c r="C54" i="3" s="1" a="1"/>
  <c r="C54" i="3" s="1"/>
  <c r="E4" i="24"/>
  <c r="C45" i="3" s="1" a="1"/>
  <c r="C45" i="3" s="1"/>
  <c r="E4" i="23"/>
  <c r="C36" i="3" s="1" a="1"/>
  <c r="C36" i="3" s="1"/>
  <c r="E4" i="22"/>
  <c r="C25" i="3" s="1" a="1"/>
  <c r="C25" i="3" s="1"/>
  <c r="E4" i="21"/>
  <c r="C20" i="3" s="1" a="1"/>
  <c r="C20" i="3" s="1"/>
  <c r="E54" i="5"/>
  <c r="C14" i="3" s="1" a="1"/>
  <c r="C14" i="3" s="1"/>
  <c r="B6" i="3"/>
  <c r="B5" i="3"/>
  <c r="D83" i="25"/>
  <c r="A83" i="25"/>
  <c r="E83" i="25" s="1"/>
  <c r="D82" i="25"/>
  <c r="A82" i="25"/>
  <c r="E82" i="25" s="1"/>
  <c r="D81" i="25"/>
  <c r="A81" i="25"/>
  <c r="E81" i="25" s="1"/>
  <c r="D80" i="25"/>
  <c r="A80" i="25"/>
  <c r="E80" i="25" s="1"/>
  <c r="D79" i="25"/>
  <c r="A79" i="25"/>
  <c r="E79" i="25" s="1"/>
  <c r="D78" i="25"/>
  <c r="A78" i="25"/>
  <c r="E78" i="25" s="1"/>
  <c r="D77" i="25"/>
  <c r="A77" i="25"/>
  <c r="E77" i="25" s="1"/>
  <c r="D76" i="25"/>
  <c r="A76" i="25"/>
  <c r="E76" i="25" s="1"/>
  <c r="D75" i="25"/>
  <c r="A75" i="25"/>
  <c r="E75" i="25" s="1"/>
  <c r="D74" i="25"/>
  <c r="A74" i="25"/>
  <c r="D73" i="25"/>
  <c r="A73" i="25"/>
  <c r="E73" i="25" s="1"/>
  <c r="D72" i="25"/>
  <c r="A72" i="25"/>
  <c r="E72" i="25" s="1"/>
  <c r="D71" i="25"/>
  <c r="A71" i="25"/>
  <c r="E71" i="25" s="1"/>
  <c r="D70" i="25"/>
  <c r="A70" i="25"/>
  <c r="E70" i="25" s="1"/>
  <c r="D69" i="25"/>
  <c r="A69" i="25"/>
  <c r="E69" i="25" s="1"/>
  <c r="D68" i="25"/>
  <c r="A68" i="25"/>
  <c r="E68" i="25" s="1"/>
  <c r="D67" i="25"/>
  <c r="A67" i="25"/>
  <c r="E67" i="25" s="1"/>
  <c r="D66" i="25"/>
  <c r="A66" i="25"/>
  <c r="E66" i="25" s="1"/>
  <c r="D65" i="25"/>
  <c r="A65" i="25"/>
  <c r="E65" i="25" s="1"/>
  <c r="D64" i="25"/>
  <c r="A64" i="25"/>
  <c r="D63" i="25"/>
  <c r="A63" i="25"/>
  <c r="E63" i="25" s="1"/>
  <c r="D62" i="25"/>
  <c r="A62" i="25"/>
  <c r="E62" i="25" s="1"/>
  <c r="D61" i="25"/>
  <c r="A61" i="25"/>
  <c r="E61" i="25" s="1"/>
  <c r="D60" i="25"/>
  <c r="A60" i="25"/>
  <c r="E60" i="25" s="1"/>
  <c r="D59" i="25"/>
  <c r="A59" i="25"/>
  <c r="E59" i="25" s="1"/>
  <c r="D58" i="25"/>
  <c r="A58" i="25"/>
  <c r="E58" i="25" s="1"/>
  <c r="D57" i="25"/>
  <c r="A57" i="25"/>
  <c r="E57" i="25" s="1"/>
  <c r="D56" i="25"/>
  <c r="A56" i="25"/>
  <c r="E56" i="25" s="1"/>
  <c r="D55" i="25"/>
  <c r="A55" i="25"/>
  <c r="E55" i="25" s="1"/>
  <c r="D54" i="25"/>
  <c r="A54" i="25"/>
  <c r="D53" i="25"/>
  <c r="A53" i="25"/>
  <c r="E53" i="25" s="1"/>
  <c r="D52" i="25"/>
  <c r="A52" i="25"/>
  <c r="E52" i="25" s="1"/>
  <c r="D51" i="25"/>
  <c r="A51" i="25"/>
  <c r="E51" i="25" s="1"/>
  <c r="D50" i="25"/>
  <c r="A50" i="25"/>
  <c r="E50" i="25" s="1"/>
  <c r="D49" i="25"/>
  <c r="A49" i="25"/>
  <c r="E49" i="25" s="1"/>
  <c r="D48" i="25"/>
  <c r="A48" i="25"/>
  <c r="E48" i="25" s="1"/>
  <c r="D47" i="25"/>
  <c r="A47" i="25"/>
  <c r="E47" i="25" s="1"/>
  <c r="D46" i="25"/>
  <c r="A46" i="25"/>
  <c r="E46" i="25" s="1"/>
  <c r="D45" i="25"/>
  <c r="A45" i="25"/>
  <c r="E45" i="25" s="1"/>
  <c r="D44" i="25"/>
  <c r="A44" i="25"/>
  <c r="D43" i="25"/>
  <c r="A43" i="25"/>
  <c r="E43" i="25" s="1"/>
  <c r="D42" i="25"/>
  <c r="A42" i="25"/>
  <c r="E42" i="25" s="1"/>
  <c r="D41" i="25"/>
  <c r="A41" i="25"/>
  <c r="E41" i="25" s="1"/>
  <c r="D40" i="25"/>
  <c r="A40" i="25"/>
  <c r="E40" i="25" s="1"/>
  <c r="D39" i="25"/>
  <c r="A39" i="25"/>
  <c r="E39" i="25" s="1"/>
  <c r="D38" i="25"/>
  <c r="A38" i="25"/>
  <c r="E38" i="25" s="1"/>
  <c r="D37" i="25"/>
  <c r="A37" i="25"/>
  <c r="E37" i="25" s="1"/>
  <c r="D36" i="25"/>
  <c r="A36" i="25"/>
  <c r="E36" i="25" s="1"/>
  <c r="D35" i="25"/>
  <c r="A35" i="25"/>
  <c r="E35" i="25" s="1"/>
  <c r="D34" i="25"/>
  <c r="A34" i="25"/>
  <c r="D33" i="25"/>
  <c r="A33" i="25"/>
  <c r="E33" i="25" s="1"/>
  <c r="D32" i="25"/>
  <c r="A32" i="25"/>
  <c r="E32" i="25" s="1"/>
  <c r="D31" i="25"/>
  <c r="A31" i="25"/>
  <c r="E31" i="25" s="1"/>
  <c r="D30" i="25"/>
  <c r="A30" i="25"/>
  <c r="E30" i="25" s="1"/>
  <c r="D29" i="25"/>
  <c r="A29" i="25"/>
  <c r="E29" i="25" s="1"/>
  <c r="D28" i="25"/>
  <c r="A28" i="25"/>
  <c r="E28" i="25" s="1"/>
  <c r="D27" i="25"/>
  <c r="A27" i="25"/>
  <c r="E27" i="25" s="1"/>
  <c r="D26" i="25"/>
  <c r="A26" i="25"/>
  <c r="E26" i="25" s="1"/>
  <c r="D25" i="25"/>
  <c r="A25" i="25"/>
  <c r="E25" i="25" s="1"/>
  <c r="D24" i="25"/>
  <c r="A24" i="25"/>
  <c r="D23" i="25"/>
  <c r="A23" i="25"/>
  <c r="E23" i="25" s="1"/>
  <c r="D22" i="25"/>
  <c r="A22" i="25"/>
  <c r="E22" i="25" s="1"/>
  <c r="D21" i="25"/>
  <c r="A21" i="25"/>
  <c r="E21" i="25" s="1"/>
  <c r="D20" i="25"/>
  <c r="A20" i="25"/>
  <c r="E20" i="25" s="1"/>
  <c r="D19" i="25"/>
  <c r="A19" i="25"/>
  <c r="E19" i="25" s="1"/>
  <c r="D18" i="25"/>
  <c r="A18" i="25"/>
  <c r="E18" i="25" s="1"/>
  <c r="D17" i="25"/>
  <c r="A17" i="25"/>
  <c r="E17" i="25" s="1"/>
  <c r="D16" i="25"/>
  <c r="A16" i="25"/>
  <c r="E16" i="25" s="1"/>
  <c r="D15" i="25"/>
  <c r="A15" i="25"/>
  <c r="E15" i="25" s="1"/>
  <c r="D14" i="25"/>
  <c r="A14" i="25"/>
  <c r="D103" i="24"/>
  <c r="A103" i="24"/>
  <c r="E103" i="24" s="1"/>
  <c r="D102" i="24"/>
  <c r="A102" i="24"/>
  <c r="E102" i="24" s="1"/>
  <c r="D101" i="24"/>
  <c r="A101" i="24"/>
  <c r="E101" i="24" s="1"/>
  <c r="D100" i="24"/>
  <c r="A100" i="24"/>
  <c r="E100" i="24" s="1"/>
  <c r="D99" i="24"/>
  <c r="A99" i="24"/>
  <c r="E99" i="24" s="1"/>
  <c r="D98" i="24"/>
  <c r="A98" i="24"/>
  <c r="E98" i="24" s="1"/>
  <c r="D97" i="24"/>
  <c r="A97" i="24"/>
  <c r="E97" i="24" s="1"/>
  <c r="D96" i="24"/>
  <c r="A96" i="24"/>
  <c r="E96" i="24" s="1"/>
  <c r="D95" i="24"/>
  <c r="A95" i="24"/>
  <c r="E95" i="24" s="1"/>
  <c r="D94" i="24"/>
  <c r="A94" i="24"/>
  <c r="D93" i="24"/>
  <c r="A93" i="24"/>
  <c r="E93" i="24" s="1"/>
  <c r="D92" i="24"/>
  <c r="A92" i="24"/>
  <c r="E92" i="24" s="1"/>
  <c r="D91" i="24"/>
  <c r="A91" i="24"/>
  <c r="E91" i="24" s="1"/>
  <c r="D90" i="24"/>
  <c r="A90" i="24"/>
  <c r="E90" i="24" s="1"/>
  <c r="D89" i="24"/>
  <c r="A89" i="24"/>
  <c r="E89" i="24" s="1"/>
  <c r="D88" i="24"/>
  <c r="A88" i="24"/>
  <c r="E88" i="24" s="1"/>
  <c r="D87" i="24"/>
  <c r="A87" i="24"/>
  <c r="E87" i="24" s="1"/>
  <c r="D86" i="24"/>
  <c r="A86" i="24"/>
  <c r="E86" i="24" s="1"/>
  <c r="D85" i="24"/>
  <c r="A85" i="24"/>
  <c r="E85" i="24" s="1"/>
  <c r="D84" i="24"/>
  <c r="A84" i="24"/>
  <c r="D83" i="24"/>
  <c r="A83" i="24"/>
  <c r="E83" i="24" s="1"/>
  <c r="D82" i="24"/>
  <c r="A82" i="24"/>
  <c r="E82" i="24" s="1"/>
  <c r="D81" i="24"/>
  <c r="A81" i="24"/>
  <c r="E81" i="24" s="1"/>
  <c r="D80" i="24"/>
  <c r="A80" i="24"/>
  <c r="E80" i="24" s="1"/>
  <c r="D79" i="24"/>
  <c r="A79" i="24"/>
  <c r="E79" i="24" s="1"/>
  <c r="D78" i="24"/>
  <c r="A78" i="24"/>
  <c r="E78" i="24" s="1"/>
  <c r="D77" i="24"/>
  <c r="A77" i="24"/>
  <c r="E77" i="24" s="1"/>
  <c r="D76" i="24"/>
  <c r="A76" i="24"/>
  <c r="E76" i="24" s="1"/>
  <c r="D75" i="24"/>
  <c r="A75" i="24"/>
  <c r="E75" i="24" s="1"/>
  <c r="D74" i="24"/>
  <c r="A74" i="24"/>
  <c r="D73" i="24"/>
  <c r="A73" i="24"/>
  <c r="E73" i="24" s="1"/>
  <c r="D72" i="24"/>
  <c r="A72" i="24"/>
  <c r="E72" i="24" s="1"/>
  <c r="D71" i="24"/>
  <c r="A71" i="24"/>
  <c r="E71" i="24" s="1"/>
  <c r="D70" i="24"/>
  <c r="A70" i="24"/>
  <c r="E70" i="24" s="1"/>
  <c r="D69" i="24"/>
  <c r="A69" i="24"/>
  <c r="E69" i="24" s="1"/>
  <c r="D68" i="24"/>
  <c r="A68" i="24"/>
  <c r="E68" i="24" s="1"/>
  <c r="D67" i="24"/>
  <c r="A67" i="24"/>
  <c r="E67" i="24" s="1"/>
  <c r="D66" i="24"/>
  <c r="A66" i="24"/>
  <c r="E66" i="24" s="1"/>
  <c r="D65" i="24"/>
  <c r="A65" i="24"/>
  <c r="E65" i="24" s="1"/>
  <c r="D64" i="24"/>
  <c r="A64" i="24"/>
  <c r="D63" i="24"/>
  <c r="A63" i="24"/>
  <c r="E63" i="24" s="1"/>
  <c r="D62" i="24"/>
  <c r="A62" i="24"/>
  <c r="E62" i="24" s="1"/>
  <c r="D61" i="24"/>
  <c r="A61" i="24"/>
  <c r="E61" i="24" s="1"/>
  <c r="D60" i="24"/>
  <c r="A60" i="24"/>
  <c r="E60" i="24" s="1"/>
  <c r="D59" i="24"/>
  <c r="A59" i="24"/>
  <c r="E59" i="24" s="1"/>
  <c r="D58" i="24"/>
  <c r="A58" i="24"/>
  <c r="E58" i="24" s="1"/>
  <c r="D57" i="24"/>
  <c r="A57" i="24"/>
  <c r="E57" i="24" s="1"/>
  <c r="D56" i="24"/>
  <c r="A56" i="24"/>
  <c r="E56" i="24" s="1"/>
  <c r="D55" i="24"/>
  <c r="A55" i="24"/>
  <c r="E55" i="24" s="1"/>
  <c r="D54" i="24"/>
  <c r="A54" i="24"/>
  <c r="D53" i="24"/>
  <c r="A53" i="24"/>
  <c r="E53" i="24" s="1"/>
  <c r="D52" i="24"/>
  <c r="A52" i="24"/>
  <c r="E52" i="24" s="1"/>
  <c r="D51" i="24"/>
  <c r="A51" i="24"/>
  <c r="E51" i="24" s="1"/>
  <c r="D50" i="24"/>
  <c r="A50" i="24"/>
  <c r="E50" i="24" s="1"/>
  <c r="D49" i="24"/>
  <c r="A49" i="24"/>
  <c r="E49" i="24" s="1"/>
  <c r="D48" i="24"/>
  <c r="A48" i="24"/>
  <c r="E48" i="24" s="1"/>
  <c r="D47" i="24"/>
  <c r="A47" i="24"/>
  <c r="E47" i="24" s="1"/>
  <c r="D46" i="24"/>
  <c r="A46" i="24"/>
  <c r="E46" i="24" s="1"/>
  <c r="D45" i="24"/>
  <c r="A45" i="24"/>
  <c r="E45" i="24" s="1"/>
  <c r="D44" i="24"/>
  <c r="A44" i="24"/>
  <c r="D43" i="24"/>
  <c r="A43" i="24"/>
  <c r="E43" i="24" s="1"/>
  <c r="D42" i="24"/>
  <c r="A42" i="24"/>
  <c r="E42" i="24" s="1"/>
  <c r="D41" i="24"/>
  <c r="A41" i="24"/>
  <c r="E41" i="24" s="1"/>
  <c r="D40" i="24"/>
  <c r="A40" i="24"/>
  <c r="E40" i="24" s="1"/>
  <c r="D39" i="24"/>
  <c r="A39" i="24"/>
  <c r="E39" i="24" s="1"/>
  <c r="D38" i="24"/>
  <c r="A38" i="24"/>
  <c r="E38" i="24" s="1"/>
  <c r="D37" i="24"/>
  <c r="A37" i="24"/>
  <c r="E37" i="24" s="1"/>
  <c r="D36" i="24"/>
  <c r="A36" i="24"/>
  <c r="E36" i="24" s="1"/>
  <c r="D35" i="24"/>
  <c r="A35" i="24"/>
  <c r="E35" i="24" s="1"/>
  <c r="D34" i="24"/>
  <c r="A34" i="24"/>
  <c r="D33" i="24"/>
  <c r="A33" i="24"/>
  <c r="E33" i="24" s="1"/>
  <c r="D32" i="24"/>
  <c r="A32" i="24"/>
  <c r="E32" i="24" s="1"/>
  <c r="D31" i="24"/>
  <c r="A31" i="24"/>
  <c r="E31" i="24" s="1"/>
  <c r="D30" i="24"/>
  <c r="A30" i="24"/>
  <c r="E30" i="24" s="1"/>
  <c r="D29" i="24"/>
  <c r="A29" i="24"/>
  <c r="E29" i="24" s="1"/>
  <c r="D28" i="24"/>
  <c r="A28" i="24"/>
  <c r="E28" i="24" s="1"/>
  <c r="D27" i="24"/>
  <c r="A27" i="24"/>
  <c r="E27" i="24" s="1"/>
  <c r="D26" i="24"/>
  <c r="A26" i="24"/>
  <c r="E26" i="24" s="1"/>
  <c r="D25" i="24"/>
  <c r="A25" i="24"/>
  <c r="E25" i="24" s="1"/>
  <c r="D24" i="24"/>
  <c r="A24" i="24"/>
  <c r="D23" i="24"/>
  <c r="A23" i="24"/>
  <c r="E23" i="24" s="1"/>
  <c r="D22" i="24"/>
  <c r="A22" i="24"/>
  <c r="E22" i="24" s="1"/>
  <c r="D21" i="24"/>
  <c r="A21" i="24"/>
  <c r="E21" i="24" s="1"/>
  <c r="D20" i="24"/>
  <c r="A20" i="24"/>
  <c r="E20" i="24" s="1"/>
  <c r="D19" i="24"/>
  <c r="A19" i="24"/>
  <c r="E19" i="24" s="1"/>
  <c r="D18" i="24"/>
  <c r="A18" i="24"/>
  <c r="E18" i="24" s="1"/>
  <c r="D17" i="24"/>
  <c r="A17" i="24"/>
  <c r="E17" i="24" s="1"/>
  <c r="D16" i="24"/>
  <c r="A16" i="24"/>
  <c r="E16" i="24" s="1"/>
  <c r="D15" i="24"/>
  <c r="A15" i="24"/>
  <c r="E15" i="24" s="1"/>
  <c r="D14" i="24"/>
  <c r="A14" i="24"/>
  <c r="D93" i="23"/>
  <c r="A93" i="23"/>
  <c r="E93" i="23" s="1"/>
  <c r="D92" i="23"/>
  <c r="A92" i="23"/>
  <c r="E92" i="23" s="1"/>
  <c r="D91" i="23"/>
  <c r="A91" i="23"/>
  <c r="E91" i="23" s="1"/>
  <c r="D90" i="23"/>
  <c r="A90" i="23"/>
  <c r="E90" i="23" s="1"/>
  <c r="D89" i="23"/>
  <c r="A89" i="23"/>
  <c r="E89" i="23" s="1"/>
  <c r="D88" i="23"/>
  <c r="A88" i="23"/>
  <c r="E88" i="23" s="1"/>
  <c r="D87" i="23"/>
  <c r="A87" i="23"/>
  <c r="E87" i="23" s="1"/>
  <c r="D86" i="23"/>
  <c r="A86" i="23"/>
  <c r="E86" i="23" s="1"/>
  <c r="D85" i="23"/>
  <c r="A85" i="23"/>
  <c r="E85" i="23" s="1"/>
  <c r="D84" i="23"/>
  <c r="A84" i="23"/>
  <c r="D83" i="23"/>
  <c r="A83" i="23"/>
  <c r="E83" i="23" s="1"/>
  <c r="D82" i="23"/>
  <c r="A82" i="23"/>
  <c r="E82" i="23" s="1"/>
  <c r="D81" i="23"/>
  <c r="A81" i="23"/>
  <c r="E81" i="23" s="1"/>
  <c r="D80" i="23"/>
  <c r="A80" i="23"/>
  <c r="E80" i="23" s="1"/>
  <c r="D79" i="23"/>
  <c r="A79" i="23"/>
  <c r="E79" i="23" s="1"/>
  <c r="D78" i="23"/>
  <c r="A78" i="23"/>
  <c r="E78" i="23" s="1"/>
  <c r="D77" i="23"/>
  <c r="A77" i="23"/>
  <c r="E77" i="23" s="1"/>
  <c r="D76" i="23"/>
  <c r="A76" i="23"/>
  <c r="E76" i="23" s="1"/>
  <c r="D75" i="23"/>
  <c r="A75" i="23"/>
  <c r="E75" i="23" s="1"/>
  <c r="D74" i="23"/>
  <c r="A74" i="23"/>
  <c r="D73" i="23"/>
  <c r="A73" i="23"/>
  <c r="E73" i="23" s="1"/>
  <c r="D72" i="23"/>
  <c r="A72" i="23"/>
  <c r="E72" i="23" s="1"/>
  <c r="D71" i="23"/>
  <c r="A71" i="23"/>
  <c r="E71" i="23" s="1"/>
  <c r="D70" i="23"/>
  <c r="A70" i="23"/>
  <c r="E70" i="23" s="1"/>
  <c r="D69" i="23"/>
  <c r="A69" i="23"/>
  <c r="E69" i="23" s="1"/>
  <c r="D68" i="23"/>
  <c r="A68" i="23"/>
  <c r="E68" i="23" s="1"/>
  <c r="D67" i="23"/>
  <c r="A67" i="23"/>
  <c r="E67" i="23" s="1"/>
  <c r="D66" i="23"/>
  <c r="A66" i="23"/>
  <c r="E66" i="23" s="1"/>
  <c r="D65" i="23"/>
  <c r="A65" i="23"/>
  <c r="E65" i="23" s="1"/>
  <c r="D64" i="23"/>
  <c r="A64" i="23"/>
  <c r="D63" i="23"/>
  <c r="A63" i="23"/>
  <c r="E63" i="23" s="1"/>
  <c r="D62" i="23"/>
  <c r="A62" i="23"/>
  <c r="E62" i="23" s="1"/>
  <c r="D61" i="23"/>
  <c r="A61" i="23"/>
  <c r="E61" i="23" s="1"/>
  <c r="D60" i="23"/>
  <c r="A60" i="23"/>
  <c r="E60" i="23" s="1"/>
  <c r="D59" i="23"/>
  <c r="A59" i="23"/>
  <c r="E59" i="23" s="1"/>
  <c r="D58" i="23"/>
  <c r="A58" i="23"/>
  <c r="E58" i="23" s="1"/>
  <c r="D57" i="23"/>
  <c r="A57" i="23"/>
  <c r="E57" i="23" s="1"/>
  <c r="D56" i="23"/>
  <c r="A56" i="23"/>
  <c r="E56" i="23" s="1"/>
  <c r="D55" i="23"/>
  <c r="A55" i="23"/>
  <c r="E55" i="23" s="1"/>
  <c r="D54" i="23"/>
  <c r="A54" i="23"/>
  <c r="D53" i="23"/>
  <c r="A53" i="23"/>
  <c r="E53" i="23" s="1"/>
  <c r="D52" i="23"/>
  <c r="A52" i="23"/>
  <c r="E52" i="23" s="1"/>
  <c r="D51" i="23"/>
  <c r="A51" i="23"/>
  <c r="E51" i="23" s="1"/>
  <c r="D50" i="23"/>
  <c r="A50" i="23"/>
  <c r="E50" i="23" s="1"/>
  <c r="D49" i="23"/>
  <c r="A49" i="23"/>
  <c r="E49" i="23" s="1"/>
  <c r="D48" i="23"/>
  <c r="A48" i="23"/>
  <c r="E48" i="23" s="1"/>
  <c r="D47" i="23"/>
  <c r="A47" i="23"/>
  <c r="E47" i="23" s="1"/>
  <c r="D46" i="23"/>
  <c r="A46" i="23"/>
  <c r="E46" i="23" s="1"/>
  <c r="D45" i="23"/>
  <c r="A45" i="23"/>
  <c r="E45" i="23" s="1"/>
  <c r="D44" i="23"/>
  <c r="A44" i="23"/>
  <c r="D43" i="23"/>
  <c r="A43" i="23"/>
  <c r="E43" i="23" s="1"/>
  <c r="D42" i="23"/>
  <c r="A42" i="23"/>
  <c r="E42" i="23" s="1"/>
  <c r="D41" i="23"/>
  <c r="A41" i="23"/>
  <c r="E41" i="23" s="1"/>
  <c r="D40" i="23"/>
  <c r="A40" i="23"/>
  <c r="E40" i="23" s="1"/>
  <c r="D39" i="23"/>
  <c r="A39" i="23"/>
  <c r="E39" i="23" s="1"/>
  <c r="D38" i="23"/>
  <c r="A38" i="23"/>
  <c r="E38" i="23" s="1"/>
  <c r="D37" i="23"/>
  <c r="A37" i="23"/>
  <c r="E37" i="23" s="1"/>
  <c r="D36" i="23"/>
  <c r="A36" i="23"/>
  <c r="E36" i="23" s="1"/>
  <c r="D35" i="23"/>
  <c r="A35" i="23"/>
  <c r="E35" i="23" s="1"/>
  <c r="D34" i="23"/>
  <c r="A34" i="23"/>
  <c r="D33" i="23"/>
  <c r="A33" i="23"/>
  <c r="E33" i="23" s="1"/>
  <c r="D32" i="23"/>
  <c r="A32" i="23"/>
  <c r="E32" i="23" s="1"/>
  <c r="D31" i="23"/>
  <c r="A31" i="23"/>
  <c r="E31" i="23" s="1"/>
  <c r="D30" i="23"/>
  <c r="A30" i="23"/>
  <c r="E30" i="23" s="1"/>
  <c r="D29" i="23"/>
  <c r="A29" i="23"/>
  <c r="E29" i="23" s="1"/>
  <c r="D28" i="23"/>
  <c r="A28" i="23"/>
  <c r="E28" i="23" s="1"/>
  <c r="D27" i="23"/>
  <c r="A27" i="23"/>
  <c r="E27" i="23" s="1"/>
  <c r="D26" i="23"/>
  <c r="A26" i="23"/>
  <c r="E26" i="23" s="1"/>
  <c r="D25" i="23"/>
  <c r="A25" i="23"/>
  <c r="E25" i="23" s="1"/>
  <c r="D24" i="23"/>
  <c r="A24" i="23"/>
  <c r="D23" i="23"/>
  <c r="A23" i="23"/>
  <c r="E23" i="23" s="1"/>
  <c r="D22" i="23"/>
  <c r="A22" i="23"/>
  <c r="E22" i="23" s="1"/>
  <c r="D21" i="23"/>
  <c r="A21" i="23"/>
  <c r="E21" i="23" s="1"/>
  <c r="D20" i="23"/>
  <c r="A20" i="23"/>
  <c r="E20" i="23" s="1"/>
  <c r="D19" i="23"/>
  <c r="A19" i="23"/>
  <c r="E19" i="23" s="1"/>
  <c r="D18" i="23"/>
  <c r="A18" i="23"/>
  <c r="E18" i="23" s="1"/>
  <c r="D17" i="23"/>
  <c r="A17" i="23"/>
  <c r="E17" i="23" s="1"/>
  <c r="D16" i="23"/>
  <c r="A16" i="23"/>
  <c r="E16" i="23" s="1"/>
  <c r="D15" i="23"/>
  <c r="A15" i="23"/>
  <c r="E15" i="23" s="1"/>
  <c r="D14" i="23"/>
  <c r="A14" i="23"/>
  <c r="D73" i="22"/>
  <c r="A73" i="22"/>
  <c r="E73" i="22" s="1"/>
  <c r="D72" i="22"/>
  <c r="A72" i="22"/>
  <c r="E72" i="22" s="1"/>
  <c r="D71" i="22"/>
  <c r="A71" i="22"/>
  <c r="E71" i="22" s="1"/>
  <c r="D70" i="22"/>
  <c r="A70" i="22"/>
  <c r="E70" i="22" s="1"/>
  <c r="D69" i="22"/>
  <c r="A69" i="22"/>
  <c r="E69" i="22" s="1"/>
  <c r="D68" i="22"/>
  <c r="A68" i="22"/>
  <c r="E68" i="22" s="1"/>
  <c r="D67" i="22"/>
  <c r="A67" i="22"/>
  <c r="E67" i="22" s="1"/>
  <c r="D66" i="22"/>
  <c r="A66" i="22"/>
  <c r="E66" i="22" s="1"/>
  <c r="D65" i="22"/>
  <c r="A65" i="22"/>
  <c r="E65" i="22" s="1"/>
  <c r="D64" i="22"/>
  <c r="A64" i="22"/>
  <c r="D63" i="22"/>
  <c r="A63" i="22"/>
  <c r="E63" i="22" s="1"/>
  <c r="D62" i="22"/>
  <c r="A62" i="22"/>
  <c r="E62" i="22" s="1"/>
  <c r="D61" i="22"/>
  <c r="A61" i="22"/>
  <c r="E61" i="22" s="1"/>
  <c r="D60" i="22"/>
  <c r="A60" i="22"/>
  <c r="E60" i="22" s="1"/>
  <c r="D59" i="22"/>
  <c r="A59" i="22"/>
  <c r="E59" i="22" s="1"/>
  <c r="D58" i="22"/>
  <c r="A58" i="22"/>
  <c r="E58" i="22" s="1"/>
  <c r="D57" i="22"/>
  <c r="A57" i="22"/>
  <c r="E57" i="22" s="1"/>
  <c r="D56" i="22"/>
  <c r="A56" i="22"/>
  <c r="E56" i="22" s="1"/>
  <c r="D55" i="22"/>
  <c r="A55" i="22"/>
  <c r="E55" i="22" s="1"/>
  <c r="D54" i="22"/>
  <c r="A54" i="22"/>
  <c r="D53" i="22"/>
  <c r="A53" i="22"/>
  <c r="E53" i="22" s="1"/>
  <c r="D52" i="22"/>
  <c r="A52" i="22"/>
  <c r="E52" i="22" s="1"/>
  <c r="D51" i="22"/>
  <c r="A51" i="22"/>
  <c r="E51" i="22" s="1"/>
  <c r="D50" i="22"/>
  <c r="A50" i="22"/>
  <c r="E50" i="22" s="1"/>
  <c r="D49" i="22"/>
  <c r="A49" i="22"/>
  <c r="E49" i="22" s="1"/>
  <c r="D48" i="22"/>
  <c r="A48" i="22"/>
  <c r="E48" i="22" s="1"/>
  <c r="D47" i="22"/>
  <c r="A47" i="22"/>
  <c r="E47" i="22" s="1"/>
  <c r="D46" i="22"/>
  <c r="A46" i="22"/>
  <c r="E46" i="22" s="1"/>
  <c r="D45" i="22"/>
  <c r="A45" i="22"/>
  <c r="E45" i="22" s="1"/>
  <c r="D44" i="22"/>
  <c r="A44" i="22"/>
  <c r="D43" i="22"/>
  <c r="A43" i="22"/>
  <c r="E43" i="22" s="1"/>
  <c r="D42" i="22"/>
  <c r="A42" i="22"/>
  <c r="E42" i="22" s="1"/>
  <c r="D41" i="22"/>
  <c r="A41" i="22"/>
  <c r="E41" i="22" s="1"/>
  <c r="D40" i="22"/>
  <c r="A40" i="22"/>
  <c r="E40" i="22" s="1"/>
  <c r="D39" i="22"/>
  <c r="A39" i="22"/>
  <c r="E39" i="22" s="1"/>
  <c r="D38" i="22"/>
  <c r="A38" i="22"/>
  <c r="E38" i="22" s="1"/>
  <c r="D37" i="22"/>
  <c r="A37" i="22"/>
  <c r="E37" i="22" s="1"/>
  <c r="D36" i="22"/>
  <c r="A36" i="22"/>
  <c r="E36" i="22" s="1"/>
  <c r="D35" i="22"/>
  <c r="A35" i="22"/>
  <c r="E35" i="22" s="1"/>
  <c r="D34" i="22"/>
  <c r="A34" i="22"/>
  <c r="D33" i="22"/>
  <c r="A33" i="22"/>
  <c r="E33" i="22" s="1"/>
  <c r="D32" i="22"/>
  <c r="A32" i="22"/>
  <c r="E32" i="22" s="1"/>
  <c r="D31" i="22"/>
  <c r="A31" i="22"/>
  <c r="E31" i="22" s="1"/>
  <c r="D30" i="22"/>
  <c r="A30" i="22"/>
  <c r="E30" i="22" s="1"/>
  <c r="D29" i="22"/>
  <c r="A29" i="22"/>
  <c r="E29" i="22" s="1"/>
  <c r="D28" i="22"/>
  <c r="A28" i="22"/>
  <c r="E28" i="22" s="1"/>
  <c r="D27" i="22"/>
  <c r="A27" i="22"/>
  <c r="E27" i="22" s="1"/>
  <c r="D26" i="22"/>
  <c r="A26" i="22"/>
  <c r="E26" i="22" s="1"/>
  <c r="D25" i="22"/>
  <c r="A25" i="22"/>
  <c r="E25" i="22" s="1"/>
  <c r="D24" i="22"/>
  <c r="A24" i="22"/>
  <c r="D23" i="22"/>
  <c r="A23" i="22"/>
  <c r="E23" i="22" s="1"/>
  <c r="D22" i="22"/>
  <c r="A22" i="22"/>
  <c r="E22" i="22" s="1"/>
  <c r="D21" i="22"/>
  <c r="A21" i="22"/>
  <c r="E21" i="22" s="1"/>
  <c r="D20" i="22"/>
  <c r="A20" i="22"/>
  <c r="E20" i="22" s="1"/>
  <c r="D19" i="22"/>
  <c r="A19" i="22"/>
  <c r="E19" i="22" s="1"/>
  <c r="D18" i="22"/>
  <c r="A18" i="22"/>
  <c r="E18" i="22" s="1"/>
  <c r="D17" i="22"/>
  <c r="A17" i="22"/>
  <c r="E17" i="22" s="1"/>
  <c r="D16" i="22"/>
  <c r="A16" i="22"/>
  <c r="E16" i="22" s="1"/>
  <c r="D15" i="22"/>
  <c r="A15" i="22"/>
  <c r="E15" i="22" s="1"/>
  <c r="D14" i="22"/>
  <c r="A14" i="22"/>
  <c r="D53" i="21"/>
  <c r="A53" i="21"/>
  <c r="E53" i="21" s="1"/>
  <c r="D52" i="21"/>
  <c r="A52" i="21"/>
  <c r="E52" i="21" s="1"/>
  <c r="D51" i="21"/>
  <c r="A51" i="21"/>
  <c r="E51" i="21" s="1"/>
  <c r="D50" i="21"/>
  <c r="A50" i="21"/>
  <c r="E50" i="21" s="1"/>
  <c r="D49" i="21"/>
  <c r="A49" i="21"/>
  <c r="E49" i="21" s="1"/>
  <c r="D48" i="21"/>
  <c r="A48" i="21"/>
  <c r="E48" i="21" s="1"/>
  <c r="D47" i="21"/>
  <c r="A47" i="21"/>
  <c r="E47" i="21" s="1"/>
  <c r="D46" i="21"/>
  <c r="A46" i="21"/>
  <c r="E46" i="21" s="1"/>
  <c r="D45" i="21"/>
  <c r="A45" i="21"/>
  <c r="E45" i="21" s="1"/>
  <c r="D44" i="21"/>
  <c r="A44" i="21"/>
  <c r="D43" i="21"/>
  <c r="A43" i="21"/>
  <c r="E43" i="21" s="1"/>
  <c r="D42" i="21"/>
  <c r="A42" i="21"/>
  <c r="E42" i="21" s="1"/>
  <c r="D41" i="21"/>
  <c r="A41" i="21"/>
  <c r="E41" i="21" s="1"/>
  <c r="D40" i="21"/>
  <c r="A40" i="21"/>
  <c r="E40" i="21" s="1"/>
  <c r="D39" i="21"/>
  <c r="A39" i="21"/>
  <c r="E39" i="21" s="1"/>
  <c r="D38" i="21"/>
  <c r="A38" i="21"/>
  <c r="E38" i="21" s="1"/>
  <c r="D37" i="21"/>
  <c r="A37" i="21"/>
  <c r="E37" i="21" s="1"/>
  <c r="D36" i="21"/>
  <c r="A36" i="21"/>
  <c r="E36" i="21" s="1"/>
  <c r="D35" i="21"/>
  <c r="A35" i="21"/>
  <c r="E35" i="21" s="1"/>
  <c r="D34" i="21"/>
  <c r="A34" i="21"/>
  <c r="D33" i="21"/>
  <c r="A33" i="21"/>
  <c r="E33" i="21" s="1"/>
  <c r="D32" i="21"/>
  <c r="A32" i="21"/>
  <c r="E32" i="21" s="1"/>
  <c r="D31" i="21"/>
  <c r="A31" i="21"/>
  <c r="E31" i="21" s="1"/>
  <c r="D30" i="21"/>
  <c r="A30" i="21"/>
  <c r="E30" i="21" s="1"/>
  <c r="D29" i="21"/>
  <c r="A29" i="21"/>
  <c r="E29" i="21" s="1"/>
  <c r="D28" i="21"/>
  <c r="A28" i="21"/>
  <c r="E28" i="21" s="1"/>
  <c r="D27" i="21"/>
  <c r="A27" i="21"/>
  <c r="E27" i="21" s="1"/>
  <c r="D26" i="21"/>
  <c r="A26" i="21"/>
  <c r="E26" i="21" s="1"/>
  <c r="D25" i="21"/>
  <c r="A25" i="21"/>
  <c r="E25" i="21" s="1"/>
  <c r="D24" i="21"/>
  <c r="A24" i="21"/>
  <c r="D23" i="21"/>
  <c r="A23" i="21"/>
  <c r="E23" i="21" s="1"/>
  <c r="D22" i="21"/>
  <c r="A22" i="21"/>
  <c r="E22" i="21" s="1"/>
  <c r="D21" i="21"/>
  <c r="A21" i="21"/>
  <c r="E21" i="21" s="1"/>
  <c r="D20" i="21"/>
  <c r="A20" i="21"/>
  <c r="E20" i="21" s="1"/>
  <c r="D19" i="21"/>
  <c r="A19" i="21"/>
  <c r="E19" i="21" s="1"/>
  <c r="D18" i="21"/>
  <c r="A18" i="21"/>
  <c r="E18" i="21" s="1"/>
  <c r="D17" i="21"/>
  <c r="A17" i="21"/>
  <c r="E17" i="21" s="1"/>
  <c r="D16" i="21"/>
  <c r="A16" i="21"/>
  <c r="E16" i="21" s="1"/>
  <c r="D15" i="21"/>
  <c r="A15" i="21"/>
  <c r="E15" i="21" s="1"/>
  <c r="D14" i="21"/>
  <c r="A14" i="21"/>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4" i="5"/>
  <c r="A24" i="5"/>
  <c r="A25" i="5"/>
  <c r="E25" i="5" s="1"/>
  <c r="A26" i="5"/>
  <c r="E26" i="5" s="1"/>
  <c r="A27" i="5"/>
  <c r="E27" i="5" s="1"/>
  <c r="A28" i="5"/>
  <c r="E28" i="5" s="1"/>
  <c r="A29" i="5"/>
  <c r="E29" i="5" s="1"/>
  <c r="A30" i="5"/>
  <c r="E30" i="5" s="1"/>
  <c r="A31" i="5"/>
  <c r="E31" i="5" s="1"/>
  <c r="A32" i="5"/>
  <c r="E32" i="5" s="1"/>
  <c r="A33" i="5"/>
  <c r="E33" i="5" s="1"/>
  <c r="A34" i="5"/>
  <c r="A35" i="5"/>
  <c r="E35" i="5" s="1"/>
  <c r="A36" i="5"/>
  <c r="E36" i="5" s="1"/>
  <c r="A37" i="5"/>
  <c r="E37" i="5" s="1"/>
  <c r="A38" i="5"/>
  <c r="E38" i="5" s="1"/>
  <c r="A39" i="5"/>
  <c r="E39" i="5" s="1"/>
  <c r="A40" i="5"/>
  <c r="E40" i="5" s="1"/>
  <c r="A41" i="5"/>
  <c r="E41" i="5" s="1"/>
  <c r="A42" i="5"/>
  <c r="E42" i="5" s="1"/>
  <c r="A43" i="5"/>
  <c r="E43" i="5" s="1"/>
  <c r="A44" i="5"/>
  <c r="A45" i="5"/>
  <c r="E45" i="5" s="1"/>
  <c r="A46" i="5"/>
  <c r="E46" i="5" s="1"/>
  <c r="A47" i="5"/>
  <c r="E47" i="5" s="1"/>
  <c r="A48" i="5"/>
  <c r="E48" i="5" s="1"/>
  <c r="A49" i="5"/>
  <c r="E49" i="5" s="1"/>
  <c r="A50" i="5"/>
  <c r="E50" i="5" s="1"/>
  <c r="A51" i="5"/>
  <c r="E51" i="5" s="1"/>
  <c r="A52" i="5"/>
  <c r="E52" i="5" s="1"/>
  <c r="A53" i="5"/>
  <c r="E53" i="5" s="1"/>
  <c r="A5" i="5"/>
  <c r="E5" i="5" s="1"/>
  <c r="A6" i="5"/>
  <c r="E6" i="5" s="1"/>
  <c r="A7" i="5"/>
  <c r="E7" i="5" s="1"/>
  <c r="A8" i="5"/>
  <c r="E8" i="5" s="1"/>
  <c r="A9" i="5"/>
  <c r="E9" i="5" s="1"/>
  <c r="A10" i="5"/>
  <c r="E10" i="5" s="1"/>
  <c r="A11" i="5"/>
  <c r="E11" i="5" s="1"/>
  <c r="A12" i="5"/>
  <c r="E12" i="5" s="1"/>
  <c r="A13" i="5"/>
  <c r="E13" i="5" s="1"/>
  <c r="A14" i="5"/>
  <c r="A15" i="5"/>
  <c r="E15" i="5" s="1"/>
  <c r="A16" i="5"/>
  <c r="E16" i="5" s="1"/>
  <c r="A17" i="5"/>
  <c r="E17" i="5" s="1"/>
  <c r="A18" i="5"/>
  <c r="E18" i="5" s="1"/>
  <c r="A19" i="5"/>
  <c r="E19" i="5" s="1"/>
  <c r="A20" i="5"/>
  <c r="E20" i="5" s="1"/>
  <c r="A21" i="5"/>
  <c r="E21" i="5" s="1"/>
  <c r="A22" i="5"/>
  <c r="E22" i="5" s="1"/>
  <c r="A23" i="5"/>
  <c r="E23" i="5" s="1"/>
  <c r="A4" i="5"/>
  <c r="E4" i="5" s="1"/>
  <c r="C11" i="3" s="1" a="1"/>
  <c r="C11" i="3" s="1"/>
  <c r="C15" i="3" l="1" a="1"/>
  <c r="C15" i="3" s="1"/>
  <c r="E34" i="5"/>
  <c r="C18" i="3" a="1"/>
  <c r="C18" i="3" s="1"/>
  <c r="E24" i="21"/>
  <c r="C22" i="3" a="1"/>
  <c r="C22" i="3" s="1"/>
  <c r="E14" i="22"/>
  <c r="C26" i="3" a="1"/>
  <c r="C26" i="3" s="1"/>
  <c r="E44" i="22"/>
  <c r="C32" i="3" a="1"/>
  <c r="C32" i="3" s="1"/>
  <c r="H56" i="3" s="1"/>
  <c r="E14" i="23"/>
  <c r="C35" i="3" a="1"/>
  <c r="C35" i="3" s="1"/>
  <c r="E44" i="23"/>
  <c r="C39" i="3" a="1"/>
  <c r="C39" i="3" s="1"/>
  <c r="E74" i="23"/>
  <c r="C42" i="3" a="1"/>
  <c r="C42" i="3" s="1"/>
  <c r="E24" i="24"/>
  <c r="C46" i="3" a="1"/>
  <c r="C46" i="3" s="1"/>
  <c r="E54" i="24"/>
  <c r="C49" i="3" a="1"/>
  <c r="C49" i="3" s="1"/>
  <c r="E84" i="24"/>
  <c r="C52" i="3" a="1"/>
  <c r="C52" i="3" s="1"/>
  <c r="E24" i="25"/>
  <c r="C56" i="3" a="1"/>
  <c r="C56" i="3" s="1"/>
  <c r="E54" i="25"/>
  <c r="C16" i="3" a="1"/>
  <c r="C16" i="3" s="1"/>
  <c r="E44" i="5"/>
  <c r="C19" i="3" a="1"/>
  <c r="C19" i="3" s="1"/>
  <c r="E34" i="21"/>
  <c r="C23" i="3" a="1"/>
  <c r="C23" i="3" s="1"/>
  <c r="E24" i="22"/>
  <c r="C27" i="3" a="1"/>
  <c r="C27" i="3" s="1"/>
  <c r="E54" i="22"/>
  <c r="C33" i="3" a="1"/>
  <c r="C33" i="3" s="1"/>
  <c r="E24" i="23"/>
  <c r="C37" i="3" a="1"/>
  <c r="C37" i="3" s="1"/>
  <c r="E54" i="23"/>
  <c r="C40" i="3" a="1"/>
  <c r="C40" i="3" s="1"/>
  <c r="E84" i="23"/>
  <c r="C43" i="3" a="1"/>
  <c r="C43" i="3" s="1"/>
  <c r="E34" i="24"/>
  <c r="C47" i="3" a="1"/>
  <c r="C47" i="3" s="1"/>
  <c r="E64" i="24"/>
  <c r="C50" i="3" a="1"/>
  <c r="C50" i="3" s="1"/>
  <c r="E94" i="24"/>
  <c r="C53" i="3" a="1"/>
  <c r="C53" i="3" s="1"/>
  <c r="E34" i="25"/>
  <c r="C57" i="3" a="1"/>
  <c r="C57" i="3" s="1"/>
  <c r="E64" i="25"/>
  <c r="C12" i="3" a="1"/>
  <c r="C12" i="3" s="1"/>
  <c r="E14" i="5"/>
  <c r="C13" i="3" a="1"/>
  <c r="C13" i="3" s="1"/>
  <c r="E24" i="5"/>
  <c r="C17" i="3" a="1"/>
  <c r="C17" i="3" s="1"/>
  <c r="E14" i="21"/>
  <c r="C21" i="3" a="1"/>
  <c r="C21" i="3" s="1"/>
  <c r="E44" i="21"/>
  <c r="C24" i="3" a="1"/>
  <c r="C24" i="3" s="1"/>
  <c r="E34" i="22"/>
  <c r="C28" i="3" a="1"/>
  <c r="C28" i="3" s="1"/>
  <c r="E64" i="22"/>
  <c r="C34" i="3" a="1"/>
  <c r="C34" i="3" s="1"/>
  <c r="E34" i="23"/>
  <c r="C38" i="3" a="1"/>
  <c r="C38" i="3" s="1"/>
  <c r="E64" i="23"/>
  <c r="C41" i="3" a="1"/>
  <c r="C41" i="3" s="1"/>
  <c r="H57" i="3" s="1"/>
  <c r="E14" i="24"/>
  <c r="C44" i="3" a="1"/>
  <c r="C44" i="3" s="1"/>
  <c r="E44" i="24"/>
  <c r="C48" i="3" a="1"/>
  <c r="C48" i="3" s="1"/>
  <c r="E74" i="24"/>
  <c r="C51" i="3" a="1"/>
  <c r="C51" i="3" s="1"/>
  <c r="E14" i="25"/>
  <c r="C55" i="3" a="1"/>
  <c r="C55" i="3" s="1"/>
  <c r="H58" i="3" s="1"/>
  <c r="E44" i="25"/>
  <c r="C58" i="3" a="1"/>
  <c r="C58" i="3" s="1"/>
  <c r="E74" i="25"/>
  <c r="C30" i="3"/>
  <c r="C8" i="3"/>
  <c r="A1" i="3"/>
  <c r="G34" i="3"/>
  <c r="H27" i="3"/>
  <c r="H26" i="3"/>
  <c r="J57" i="3" l="1"/>
  <c r="H59" i="3"/>
  <c r="H25" i="3" l="1"/>
  <c r="H28" i="3" l="1"/>
  <c r="J25" i="3"/>
  <c r="J54"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<sst xmlns="http://schemas.openxmlformats.org/spreadsheetml/2006/main" count="1884" uniqueCount="162">
  <si>
    <t>Identifiant</t>
  </si>
  <si>
    <t>Nom</t>
  </si>
  <si>
    <t xml:space="preserve">Prénom </t>
  </si>
  <si>
    <t>Rôle</t>
  </si>
  <si>
    <t>combiné</t>
  </si>
  <si>
    <t>DUB001</t>
  </si>
  <si>
    <t>DUBOIS</t>
  </si>
  <si>
    <t>JEAN</t>
  </si>
  <si>
    <t>Etu</t>
  </si>
  <si>
    <t>DUB002</t>
  </si>
  <si>
    <t>MARIE</t>
  </si>
  <si>
    <t>LEF003</t>
  </si>
  <si>
    <t>LEFEVRE</t>
  </si>
  <si>
    <t>PIERRE</t>
  </si>
  <si>
    <t>LEF004</t>
  </si>
  <si>
    <t>SOPHIE</t>
  </si>
  <si>
    <t>MAR005</t>
  </si>
  <si>
    <t>MARTIN</t>
  </si>
  <si>
    <t>LUC</t>
  </si>
  <si>
    <t>MAR006</t>
  </si>
  <si>
    <t>CLAIRE</t>
  </si>
  <si>
    <t>DUR007</t>
  </si>
  <si>
    <t>DURAND</t>
  </si>
  <si>
    <t>HENRI</t>
  </si>
  <si>
    <t>DUR008</t>
  </si>
  <si>
    <t>ALICE</t>
  </si>
  <si>
    <t>BER009</t>
  </si>
  <si>
    <t>BERNARD</t>
  </si>
  <si>
    <t>MICHEL</t>
  </si>
  <si>
    <t>BER010</t>
  </si>
  <si>
    <t>ISABELLE</t>
  </si>
  <si>
    <t>CH0123</t>
  </si>
  <si>
    <t>CHIROL</t>
  </si>
  <si>
    <t>QUENTIN</t>
  </si>
  <si>
    <t>KI187</t>
  </si>
  <si>
    <t>KRA</t>
  </si>
  <si>
    <t>IMANE</t>
  </si>
  <si>
    <t>Kra Imane</t>
  </si>
  <si>
    <t>Etudiant</t>
  </si>
  <si>
    <t>Semestre</t>
  </si>
  <si>
    <t>Compétence</t>
  </si>
  <si>
    <t>Note</t>
  </si>
  <si>
    <t>coef</t>
  </si>
  <si>
    <t xml:space="preserve">date </t>
  </si>
  <si>
    <t xml:space="preserve">coeff * note </t>
  </si>
  <si>
    <t>Semestre 1</t>
  </si>
  <si>
    <t>Bases de données relationnelles 1</t>
  </si>
  <si>
    <t>Semestre 2</t>
  </si>
  <si>
    <t>Bases de données relationnelles 2</t>
  </si>
  <si>
    <t>Bases de la programmation 1</t>
  </si>
  <si>
    <t>Bases de la programmation 2</t>
  </si>
  <si>
    <t>PPP1</t>
  </si>
  <si>
    <t>PPP2</t>
  </si>
  <si>
    <t>Programmation statistique</t>
  </si>
  <si>
    <t>Reporting et datavisualisation</t>
  </si>
  <si>
    <t>SAÉ - Analyse de données, reporting et datavisualisation</t>
  </si>
  <si>
    <t>SAÉ - Conception et implémentation d'une base de données</t>
  </si>
  <si>
    <t>SAÉ - Datavisualisation</t>
  </si>
  <si>
    <t>SAÉ - Portfolio</t>
  </si>
  <si>
    <t xml:space="preserve">SAÉ - Reporting à partir de données stockées dans un SGBD relationnel </t>
  </si>
  <si>
    <t>Tableur et Reporting</t>
  </si>
  <si>
    <t>Probabilités 2</t>
  </si>
  <si>
    <t xml:space="preserve">Semestre </t>
  </si>
  <si>
    <t>Comp</t>
  </si>
  <si>
    <t>Comptétence</t>
  </si>
  <si>
    <t>Coeff</t>
  </si>
  <si>
    <t>Clé competence</t>
  </si>
  <si>
    <t>Compétence 1 :
Traiter des données à des fins décisionnelles</t>
  </si>
  <si>
    <t>C1.1.1</t>
  </si>
  <si>
    <t>C1.1.2</t>
  </si>
  <si>
    <t>C1.1.3</t>
  </si>
  <si>
    <t>C0.0.0</t>
  </si>
  <si>
    <t>C1.1.4</t>
  </si>
  <si>
    <t>SAÉ - Écriture et lecture de fichiers de données</t>
  </si>
  <si>
    <t>C1.1.5</t>
  </si>
  <si>
    <t>Compétence 2 :
Analyser statistiquement les données</t>
  </si>
  <si>
    <t>Statistique descriptive 1</t>
  </si>
  <si>
    <t>C1.2.1</t>
  </si>
  <si>
    <t>Probabilités 1</t>
  </si>
  <si>
    <t>C1.2.2</t>
  </si>
  <si>
    <t>Mathématiques - analyse</t>
  </si>
  <si>
    <t>C1.2.3</t>
  </si>
  <si>
    <t>SAÉ - Préparation et synthèse d'un tableau de données en vue d'une analyse exploratoire simple</t>
  </si>
  <si>
    <t>C1.2.4</t>
  </si>
  <si>
    <t>Compétence 3 :
Valoriser une production dans un contexte professionnel</t>
  </si>
  <si>
    <t>Initiation à l'anglais de spécialité</t>
  </si>
  <si>
    <t>C1.3.1</t>
  </si>
  <si>
    <t>Communication de l'information et recherche documentaire</t>
  </si>
  <si>
    <t>C1.3.2</t>
  </si>
  <si>
    <t xml:space="preserve">Découverte des données de l’environnement entrepreneurial et économique </t>
  </si>
  <si>
    <t>C1.3.3</t>
  </si>
  <si>
    <t>SAÉ - Apprendre en situation la production de données en entreprise</t>
  </si>
  <si>
    <t>C1.3.4</t>
  </si>
  <si>
    <t>SAÉ - Présentation en anglais d'un territoire économique et culturel</t>
  </si>
  <si>
    <t>C1.3.5</t>
  </si>
  <si>
    <t>SAÉ - Mise en oeuvre d'une enquête</t>
  </si>
  <si>
    <t>C1.3.6</t>
  </si>
  <si>
    <t>coeff</t>
  </si>
  <si>
    <t>Compétence 1 :Traiter des données à des fins décisionnelles</t>
  </si>
  <si>
    <t>C2.1.1</t>
  </si>
  <si>
    <t>C2.1.2</t>
  </si>
  <si>
    <t>C2.1.3</t>
  </si>
  <si>
    <t>C2.1.4</t>
  </si>
  <si>
    <t>C2.1.5</t>
  </si>
  <si>
    <t>C2.1.6</t>
  </si>
  <si>
    <t>C2.1.7</t>
  </si>
  <si>
    <t>C2.1.8</t>
  </si>
  <si>
    <t>Compétence 2 :</t>
  </si>
  <si>
    <t>Statistique descriptive 2</t>
  </si>
  <si>
    <t>C2.2.1</t>
  </si>
  <si>
    <t>Analyser statistiquement les données</t>
  </si>
  <si>
    <t>C2.2.2</t>
  </si>
  <si>
    <t>Bases de l'algèbre</t>
  </si>
  <si>
    <t>C2.2.3</t>
  </si>
  <si>
    <t>Statistique inférentielle</t>
  </si>
  <si>
    <t>C2.2.4</t>
  </si>
  <si>
    <t>SAÉ - Estimation par échantillonnage</t>
  </si>
  <si>
    <t>C2.2.5</t>
  </si>
  <si>
    <t>SAÉ - Régression sur des données réelles</t>
  </si>
  <si>
    <t>C2.2.6</t>
  </si>
  <si>
    <t>C2.2.7</t>
  </si>
  <si>
    <t>C2.2.8</t>
  </si>
  <si>
    <t>C2.2.9</t>
  </si>
  <si>
    <t>Compétence 3 :</t>
  </si>
  <si>
    <t>Approfondissement de l'anglais de spécialité</t>
  </si>
  <si>
    <t>C2.3.1</t>
  </si>
  <si>
    <t>Valoriser une production dans un contexte professionnel</t>
  </si>
  <si>
    <t>Communication et sémiologie</t>
  </si>
  <si>
    <t>C2.3.2</t>
  </si>
  <si>
    <t>Étude des données de l'environnement entrepreneurial et économique</t>
  </si>
  <si>
    <t>C2.3.3</t>
  </si>
  <si>
    <t>C2.3.4</t>
  </si>
  <si>
    <t>SAÉ - Construction et présentation d'indicateurs de performance</t>
  </si>
  <si>
    <t>C2.3.5</t>
  </si>
  <si>
    <t>C2.3.6</t>
  </si>
  <si>
    <t>C2.3.7</t>
  </si>
  <si>
    <t xml:space="preserve">Vue détailler sur les resultats du semestre 1 </t>
  </si>
  <si>
    <t xml:space="preserve">Id Étudiant </t>
  </si>
  <si>
    <t xml:space="preserve">Nom </t>
  </si>
  <si>
    <t xml:space="preserve">Semestre 1 </t>
  </si>
  <si>
    <t>clé_compétence</t>
  </si>
  <si>
    <t>compétence</t>
  </si>
  <si>
    <t>note</t>
  </si>
  <si>
    <t xml:space="preserve">moyenne blocs semestre 1 </t>
  </si>
  <si>
    <t xml:space="preserve">compétence 1 </t>
  </si>
  <si>
    <t xml:space="preserve">compétence 2 </t>
  </si>
  <si>
    <t xml:space="preserve">compétence 3 </t>
  </si>
  <si>
    <t xml:space="preserve">moyenne </t>
  </si>
  <si>
    <t>semestre 2</t>
  </si>
  <si>
    <t>Vue détailler sur les resultats du semestre 2</t>
  </si>
  <si>
    <t>moyenne blocs semestre 2</t>
  </si>
  <si>
    <t>compétence 2</t>
  </si>
  <si>
    <t>compétence 3</t>
  </si>
  <si>
    <t>moyenne</t>
  </si>
  <si>
    <t>Compétence 1 : Traiter des données à des fins décisionnelles</t>
  </si>
  <si>
    <t>competence</t>
  </si>
  <si>
    <t>code_comp</t>
  </si>
  <si>
    <t>id etudiant</t>
  </si>
  <si>
    <t xml:space="preserve"> Compétence 2 : Analyser statistiquement les données</t>
  </si>
  <si>
    <t>Compétence 3 :Valoriser une production dans un contexte professionnel</t>
  </si>
  <si>
    <t>Compétence 2 : Analyser statistiquement les données</t>
  </si>
  <si>
    <t>Compétence 3: Valoriser une production dans un contexte professionnel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</si>
</sst>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i/>
      <sz val="11"/>
      <color theme="1"/>
      <name val="Calibri"/>
      <family val="2"/>
      <scheme val="minor"/>
    </font>
    <font>
      <i/>
      <sz val="11"/>
      <color theme="1"/>
      <name val="Calibri"/>
      <family val="2"/>
      <scheme val="minor"/>
    </font>
    <font>
      <sz val="11"/>
      <color theme="1"/>
      <name val="Calibri"/>
      <family val="2"/>
      <scheme val="minor"/>
    </font>
    <font>
      <sz val="18"/>
      <color theme="3"/>
      <name val="Calibri Light"/>
      <family val="2"/>
      <scheme val="major"/>
    </font>
    <font>
      <b/>
      <sz val="11"/>
      <color theme="1"/>
      <name val="Calibri"/>
      <family val="2"/>
      <scheme val="minor"/>
    </font>
    <font>
      <b/>
      <i/>
      <sz val="11"/>
      <color rgb="FF000000"/>
      <name val="Calibri"/>
      <family val="2"/>
      <scheme val="minor"/>
    </font>
    <font>
      <i/>
      <sz val="11"/>
      <color rgb="FF000000"/>
      <name val="Calibri"/>
      <family val="2"/>
      <scheme val="minor"/>
    </font>
    <font>
      <sz val="8"/>
      <name val="Calibri"/>
      <family val="2"/>
      <scheme val="minor"/>
    </font>
    <font>
      <sz val="12"/>
      <color theme="1"/>
      <name val="Calibri"/>
      <family val="2"/>
      <scheme val="minor"/>
    </font>
    <font>
      <b/>
      <sz val="12"/>
      <color theme="1"/>
      <name val="Calibri"/>
      <family val="2"/>
      <scheme val="minor"/>
    </font>
    <font>
      <b/>
      <sz val="18"/>
      <color theme="1"/>
      <name val="Calibri Light"/>
      <family val="2"/>
      <scheme val="major"/>
    </font>
    <font>
      <sz val="11"/>
      <color theme="0"/>
      <name val="Calibri"/>
      <family val="2"/>
      <scheme val="minor"/>
    </font>
    <font>
      <sz val="18"/>
      <color theme="1"/>
      <name val="Calibri"/>
      <family val="2"/>
      <scheme val="minor"/>
    </font>
    <font>
      <sz val="14"/>
      <color theme="1"/>
      <name val="Calibri"/>
      <family val="2"/>
      <scheme val="minor"/>
    </font>
    <font>
      <b/>
      <sz val="12"/>
      <color rgb="FF000000"/>
      <name val="Calibri"/>
      <family val="2"/>
      <scheme val="minor"/>
    </font>
    <font>
      <sz val="11"/>
      <color rgb="FF000000"/>
      <name val="Calibri"/>
      <family val="2"/>
      <scheme val="minor"/>
    </font>
    <font>
      <b/>
      <sz val="18"/>
      <color theme="3"/>
      <name val="Calibri Light"/>
      <family val="2"/>
      <scheme val="major"/>
    </font>
    <font>
      <b/>
      <sz val="15"/>
      <color theme="3"/>
      <name val="Calibri"/>
      <family val="2"/>
      <scheme val="minor"/>
    </font>
    <font>
      <sz val="10"/>
      <color theme="1"/>
      <name val="Arial Unicode MS"/>
      <family val="2"/>
    </font>
  </fonts>
  <fills count="25">
    <fill>
      <patternFill patternType="none"/>
    </fill>
    <fill>
      <patternFill patternType="gray125"/>
    </fill>
    <fill>
      <patternFill patternType="solid">
        <fgColor theme="9" tint="0.39997558519241921"/>
        <bgColor indexed="64"/>
      </patternFill>
    </fill>
    <fill>
      <patternFill patternType="solid">
        <fgColor theme="4" tint="0.79998168889431442"/>
        <bgColor indexed="65"/>
      </patternFill>
    </fill>
    <fill>
      <patternFill patternType="solid">
        <fgColor theme="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bgColor indexed="64"/>
      </patternFill>
    </fill>
    <fill>
      <patternFill patternType="solid">
        <fgColor theme="2"/>
        <bgColor rgb="FF000000"/>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0"/>
        <bgColor rgb="FF000000"/>
      </patternFill>
    </fill>
    <fill>
      <patternFill patternType="solid">
        <fgColor theme="6" tint="0.79998168889431442"/>
        <bgColor indexed="64"/>
      </patternFill>
    </fill>
    <fill>
      <patternFill patternType="solid">
        <fgColor theme="5" tint="0.39997558519241921"/>
        <bgColor rgb="FF000000"/>
      </patternFill>
    </fill>
    <fill>
      <patternFill patternType="solid">
        <fgColor theme="8" tint="-0.249977111117893"/>
        <bgColor rgb="FF000000"/>
      </patternFill>
    </fill>
    <fill>
      <patternFill patternType="solid">
        <fgColor theme="4" tint="0.39997558519241921"/>
        <bgColor rgb="FF000000"/>
      </patternFill>
    </fill>
    <fill>
      <patternFill patternType="solid">
        <fgColor theme="0" tint="-4.9989318521683403E-2"/>
        <bgColor indexed="64"/>
      </patternFill>
    </fill>
    <fill>
      <patternFill patternType="solid">
        <fgColor theme="8" tint="0.79998168889431442"/>
        <bgColor rgb="FF000000"/>
      </patternFill>
    </fill>
    <fill>
      <patternFill patternType="solid">
        <fgColor theme="6" tint="-0.249977111117893"/>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7" tint="0.59999389629810485"/>
        <bgColor indexed="64"/>
      </patternFill>
    </fill>
  </fills>
  <borders count="43">
    <border>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style="thin">
        <color rgb="FF000000"/>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top/>
      <bottom/>
      <diagonal/>
    </border>
    <border>
      <left style="thin">
        <color rgb="FF000000"/>
      </left>
      <right style="medium">
        <color indexed="64"/>
      </right>
      <top style="thin">
        <color rgb="FF000000"/>
      </top>
      <bottom style="thin">
        <color rgb="FF000000"/>
      </bottom>
      <diagonal/>
    </border>
    <border>
      <left style="medium">
        <color indexed="64"/>
      </left>
      <right/>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indexed="64"/>
      </left>
      <right style="thin">
        <color rgb="FF000000"/>
      </right>
      <top style="medium">
        <color indexed="64"/>
      </top>
      <bottom/>
      <diagonal/>
    </border>
    <border>
      <left style="medium">
        <color indexed="64"/>
      </left>
      <right style="thin">
        <color rgb="FF000000"/>
      </right>
      <top/>
      <bottom/>
      <diagonal/>
    </border>
    <border>
      <left style="medium">
        <color indexed="64"/>
      </left>
      <right style="thin">
        <color rgb="FF000000"/>
      </right>
      <top/>
      <bottom style="medium">
        <color indexed="64"/>
      </bottom>
      <diagonal/>
    </border>
    <border>
      <left style="thin">
        <color rgb="FF000000"/>
      </left>
      <right/>
      <top style="medium">
        <color indexed="64"/>
      </top>
      <bottom style="thin">
        <color rgb="FF000000"/>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rgb="FF000000"/>
      </bottom>
      <diagonal/>
    </border>
    <border>
      <left/>
      <right/>
      <top style="thin">
        <color rgb="FF000000"/>
      </top>
      <bottom style="thin">
        <color rgb="FF000000"/>
      </bottom>
      <diagonal/>
    </border>
    <border>
      <left/>
      <right/>
      <top style="thin">
        <color indexed="64"/>
      </top>
      <bottom style="thin">
        <color indexed="64"/>
      </bottom>
      <diagonal/>
    </border>
    <border>
      <left/>
      <right/>
      <top style="thin">
        <color rgb="FF000000"/>
      </top>
      <bottom style="medium">
        <color indexed="64"/>
      </bottom>
      <diagonal/>
    </border>
    <border>
      <left/>
      <right/>
      <top/>
      <bottom style="thin">
        <color rgb="FF000000"/>
      </bottom>
      <diagonal/>
    </border>
    <border>
      <left style="medium">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rgb="FF000000"/>
      </left>
      <right/>
      <top style="thin">
        <color rgb="FF000000"/>
      </top>
      <bottom style="medium">
        <color indexed="64"/>
      </bottom>
      <diagonal/>
    </border>
    <border>
      <left/>
      <right/>
      <top/>
      <bottom style="thick">
        <color theme="4"/>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s>
  <cellStyleXfs count="4">
    <xf numFmtId="0" fontId="0" fillId="0" borderId="0"/>
    <xf numFmtId="0" fontId="4" fillId="0" borderId="0" applyNumberFormat="0" applyFill="0" applyBorder="0" applyAlignment="0" applyProtection="0"/>
    <xf numFmtId="0" fontId="3" fillId="3" borderId="0" applyNumberFormat="0" applyBorder="0" applyAlignment="0" applyProtection="0"/>
    <xf numFmtId="0" fontId="18" fillId="0" borderId="37" applyNumberFormat="0" applyFill="0" applyAlignment="0" applyProtection="0"/>
  </cellStyleXfs>
  <cellXfs count="171">
    <xf numFmtId="0" fontId="0" fillId="0" borderId="0" xfId="0"/>
    <xf numFmtId="0" fontId="0" fillId="4" borderId="2" xfId="0" applyFill="1" applyBorder="1" applyAlignment="1">
      <alignment horizontal="center" vertical="center"/>
    </xf>
    <xf numFmtId="0" fontId="0" fillId="5" borderId="2" xfId="0" applyFill="1" applyBorder="1" applyAlignment="1">
      <alignment horizontal="center" vertical="center"/>
    </xf>
    <xf numFmtId="0" fontId="0" fillId="0" borderId="2" xfId="0" applyBorder="1" applyAlignment="1">
      <alignment horizontal="center" vertical="center"/>
    </xf>
    <xf numFmtId="0" fontId="0" fillId="0" borderId="2" xfId="0" applyBorder="1"/>
    <xf numFmtId="0" fontId="0" fillId="8" borderId="0" xfId="0" applyFill="1"/>
    <xf numFmtId="0" fontId="0" fillId="8" borderId="0" xfId="0" applyFill="1" applyAlignment="1">
      <alignment wrapText="1"/>
    </xf>
    <xf numFmtId="0" fontId="0" fillId="9" borderId="0" xfId="0" applyFill="1"/>
    <xf numFmtId="0" fontId="0" fillId="7" borderId="2" xfId="0" applyFill="1" applyBorder="1"/>
    <xf numFmtId="0" fontId="9" fillId="7" borderId="2" xfId="0" applyFont="1" applyFill="1" applyBorder="1"/>
    <xf numFmtId="0" fontId="9" fillId="0" borderId="2" xfId="0" applyFont="1" applyBorder="1"/>
    <xf numFmtId="0" fontId="9" fillId="5" borderId="2" xfId="0" applyFont="1" applyFill="1" applyBorder="1" applyAlignment="1">
      <alignment horizontal="center" vertical="center"/>
    </xf>
    <xf numFmtId="0" fontId="0" fillId="0" borderId="26" xfId="0" applyBorder="1" applyAlignment="1">
      <alignment horizontal="center"/>
    </xf>
    <xf numFmtId="0" fontId="0" fillId="4" borderId="28" xfId="0" applyFill="1" applyBorder="1" applyAlignment="1">
      <alignment vertical="center"/>
    </xf>
    <xf numFmtId="0" fontId="0" fillId="4" borderId="29" xfId="0" applyFill="1" applyBorder="1" applyAlignment="1">
      <alignment vertical="center"/>
    </xf>
    <xf numFmtId="0" fontId="0" fillId="4" borderId="30" xfId="0" applyFill="1" applyBorder="1" applyAlignment="1">
      <alignment vertical="center"/>
    </xf>
    <xf numFmtId="0" fontId="0" fillId="4" borderId="27" xfId="0" applyFill="1" applyBorder="1" applyAlignment="1">
      <alignment vertical="center" wrapText="1"/>
    </xf>
    <xf numFmtId="0" fontId="0" fillId="4" borderId="28" xfId="0" applyFill="1" applyBorder="1" applyAlignment="1">
      <alignment vertical="center" wrapText="1"/>
    </xf>
    <xf numFmtId="0" fontId="0" fillId="4" borderId="30" xfId="0" applyFill="1" applyBorder="1" applyAlignment="1">
      <alignment vertical="center" wrapText="1"/>
    </xf>
    <xf numFmtId="0" fontId="0" fillId="4" borderId="31" xfId="0" applyFill="1" applyBorder="1" applyAlignment="1">
      <alignment vertical="center"/>
    </xf>
    <xf numFmtId="0" fontId="0" fillId="0" borderId="32" xfId="0" applyBorder="1" applyAlignment="1">
      <alignment horizontal="center"/>
    </xf>
    <xf numFmtId="0" fontId="7" fillId="10" borderId="2" xfId="0" applyFont="1" applyFill="1" applyBorder="1" applyAlignment="1">
      <alignment horizontal="left" vertical="center"/>
    </xf>
    <xf numFmtId="0" fontId="7" fillId="10" borderId="2" xfId="0" applyFont="1" applyFill="1" applyBorder="1" applyAlignment="1">
      <alignment horizontal="left" vertical="center" wrapText="1"/>
    </xf>
    <xf numFmtId="0" fontId="7" fillId="10" borderId="10" xfId="0" applyFont="1" applyFill="1" applyBorder="1" applyAlignment="1">
      <alignment horizontal="left" vertical="center"/>
    </xf>
    <xf numFmtId="0" fontId="7" fillId="10" borderId="5" xfId="0" applyFont="1" applyFill="1" applyBorder="1" applyAlignment="1">
      <alignment horizontal="left" vertical="center"/>
    </xf>
    <xf numFmtId="0" fontId="0" fillId="0" borderId="6" xfId="0" applyBorder="1"/>
    <xf numFmtId="0" fontId="7" fillId="10" borderId="5" xfId="0" applyFont="1" applyFill="1" applyBorder="1" applyAlignment="1">
      <alignment horizontal="left" vertical="center" wrapText="1"/>
    </xf>
    <xf numFmtId="0" fontId="10" fillId="2" borderId="33" xfId="0" applyFont="1" applyFill="1" applyBorder="1" applyAlignment="1">
      <alignment horizontal="center" vertical="center"/>
    </xf>
    <xf numFmtId="0" fontId="10" fillId="2" borderId="2" xfId="0" applyFont="1" applyFill="1" applyBorder="1" applyAlignment="1">
      <alignment horizontal="center" vertical="center"/>
    </xf>
    <xf numFmtId="0" fontId="0" fillId="12" borderId="25" xfId="0" applyFill="1" applyBorder="1" applyAlignment="1">
      <alignment vertical="center"/>
    </xf>
    <xf numFmtId="0" fontId="0" fillId="12" borderId="2" xfId="0" applyFill="1" applyBorder="1" applyAlignment="1">
      <alignment vertical="center"/>
    </xf>
    <xf numFmtId="0" fontId="0" fillId="12" borderId="4" xfId="0" applyFill="1" applyBorder="1"/>
    <xf numFmtId="0" fontId="0" fillId="12" borderId="7" xfId="0" applyFill="1" applyBorder="1"/>
    <xf numFmtId="0" fontId="0" fillId="12" borderId="9" xfId="0" applyFill="1" applyBorder="1"/>
    <xf numFmtId="0" fontId="2" fillId="9" borderId="14" xfId="0" applyFont="1" applyFill="1" applyBorder="1" applyAlignment="1">
      <alignment horizontal="center" vertical="center"/>
    </xf>
    <xf numFmtId="0" fontId="2" fillId="9" borderId="16" xfId="0" applyFont="1" applyFill="1" applyBorder="1" applyAlignment="1">
      <alignment horizontal="center" vertical="center"/>
    </xf>
    <xf numFmtId="0" fontId="2" fillId="9" borderId="19" xfId="0" applyFont="1" applyFill="1" applyBorder="1" applyAlignment="1">
      <alignment horizontal="center" vertical="center"/>
    </xf>
    <xf numFmtId="0" fontId="2" fillId="9" borderId="14" xfId="0" applyFont="1" applyFill="1" applyBorder="1" applyAlignment="1">
      <alignment horizontal="center" vertical="center" wrapText="1"/>
    </xf>
    <xf numFmtId="0" fontId="2" fillId="9" borderId="16" xfId="0" applyFont="1" applyFill="1" applyBorder="1" applyAlignment="1">
      <alignment horizontal="center" vertical="center" wrapText="1"/>
    </xf>
    <xf numFmtId="0" fontId="2" fillId="9" borderId="19" xfId="0" applyFont="1" applyFill="1" applyBorder="1" applyAlignment="1">
      <alignment horizontal="center" vertical="center" wrapText="1"/>
    </xf>
    <xf numFmtId="0" fontId="10" fillId="4" borderId="9" xfId="0" applyFont="1" applyFill="1" applyBorder="1"/>
    <xf numFmtId="0" fontId="10" fillId="5" borderId="4" xfId="0" applyFont="1" applyFill="1" applyBorder="1"/>
    <xf numFmtId="0" fontId="10" fillId="5" borderId="7" xfId="0" applyFont="1" applyFill="1" applyBorder="1"/>
    <xf numFmtId="0" fontId="7" fillId="13" borderId="14" xfId="0" applyFont="1" applyFill="1" applyBorder="1" applyAlignment="1">
      <alignment horizontal="center" vertical="center"/>
    </xf>
    <xf numFmtId="0" fontId="7" fillId="13" borderId="16" xfId="0" applyFont="1" applyFill="1" applyBorder="1" applyAlignment="1">
      <alignment horizontal="center" vertical="center"/>
    </xf>
    <xf numFmtId="0" fontId="7" fillId="13" borderId="19" xfId="0" applyFont="1" applyFill="1" applyBorder="1" applyAlignment="1">
      <alignment horizontal="center" vertical="center"/>
    </xf>
    <xf numFmtId="0" fontId="7" fillId="13" borderId="14" xfId="0" applyFont="1" applyFill="1" applyBorder="1" applyAlignment="1">
      <alignment horizontal="center" vertical="center" wrapText="1"/>
    </xf>
    <xf numFmtId="0" fontId="7" fillId="13" borderId="16" xfId="0" applyFont="1" applyFill="1" applyBorder="1" applyAlignment="1">
      <alignment horizontal="center" vertical="center" wrapText="1"/>
    </xf>
    <xf numFmtId="0" fontId="7" fillId="13" borderId="19" xfId="0" applyFont="1" applyFill="1" applyBorder="1" applyAlignment="1">
      <alignment horizontal="center" vertical="center" wrapText="1"/>
    </xf>
    <xf numFmtId="0" fontId="5" fillId="4" borderId="11" xfId="0" applyFont="1" applyFill="1" applyBorder="1"/>
    <xf numFmtId="0" fontId="10" fillId="5" borderId="2" xfId="0" applyFont="1" applyFill="1" applyBorder="1"/>
    <xf numFmtId="0" fontId="10" fillId="11" borderId="2" xfId="0" applyFont="1" applyFill="1" applyBorder="1"/>
    <xf numFmtId="0" fontId="11" fillId="0" borderId="0" xfId="1" applyFont="1"/>
    <xf numFmtId="0" fontId="0" fillId="8" borderId="0" xfId="0" applyFill="1" applyAlignment="1">
      <alignment horizontal="center"/>
    </xf>
    <xf numFmtId="0" fontId="9" fillId="5" borderId="2" xfId="0" applyFont="1" applyFill="1" applyBorder="1"/>
    <xf numFmtId="0" fontId="6" fillId="15" borderId="12" xfId="0" applyFont="1" applyFill="1" applyBorder="1" applyAlignment="1">
      <alignment horizontal="left" vertical="center" wrapText="1"/>
    </xf>
    <xf numFmtId="0" fontId="6" fillId="15" borderId="15" xfId="0" applyFont="1" applyFill="1" applyBorder="1" applyAlignment="1">
      <alignment horizontal="left" vertical="center" wrapText="1"/>
    </xf>
    <xf numFmtId="0" fontId="6" fillId="15" borderId="17" xfId="0" applyFont="1" applyFill="1" applyBorder="1" applyAlignment="1">
      <alignment horizontal="left" vertical="center" wrapText="1"/>
    </xf>
    <xf numFmtId="0" fontId="6" fillId="17" borderId="12" xfId="0" applyFont="1" applyFill="1" applyBorder="1" applyAlignment="1">
      <alignment horizontal="left" vertical="center" wrapText="1"/>
    </xf>
    <xf numFmtId="0" fontId="6" fillId="17" borderId="15" xfId="0" applyFont="1" applyFill="1" applyBorder="1" applyAlignment="1">
      <alignment horizontal="left" vertical="center" wrapText="1"/>
    </xf>
    <xf numFmtId="0" fontId="6" fillId="17" borderId="17" xfId="0" applyFont="1" applyFill="1" applyBorder="1" applyAlignment="1">
      <alignment horizontal="left" vertical="center" wrapText="1"/>
    </xf>
    <xf numFmtId="0" fontId="14" fillId="18" borderId="0" xfId="0" applyFont="1" applyFill="1"/>
    <xf numFmtId="0" fontId="15" fillId="16" borderId="23" xfId="0" applyFont="1" applyFill="1" applyBorder="1" applyAlignment="1">
      <alignment horizontal="center" vertical="center"/>
    </xf>
    <xf numFmtId="0" fontId="15" fillId="16" borderId="3" xfId="0" applyFont="1" applyFill="1" applyBorder="1" applyAlignment="1">
      <alignment horizontal="center" vertical="center"/>
    </xf>
    <xf numFmtId="0" fontId="15" fillId="16" borderId="36" xfId="0" applyFont="1" applyFill="1" applyBorder="1" applyAlignment="1">
      <alignment horizontal="center" vertical="center"/>
    </xf>
    <xf numFmtId="0" fontId="15" fillId="17" borderId="23" xfId="0" applyFont="1" applyFill="1" applyBorder="1" applyAlignment="1">
      <alignment horizontal="center" vertical="center" wrapText="1"/>
    </xf>
    <xf numFmtId="0" fontId="15" fillId="17" borderId="3" xfId="0" applyFont="1" applyFill="1" applyBorder="1" applyAlignment="1">
      <alignment horizontal="center" vertical="center" wrapText="1"/>
    </xf>
    <xf numFmtId="0" fontId="15" fillId="17" borderId="36" xfId="0" applyFont="1" applyFill="1" applyBorder="1" applyAlignment="1">
      <alignment horizontal="center" vertical="center" wrapText="1"/>
    </xf>
    <xf numFmtId="0" fontId="15" fillId="15" borderId="23" xfId="0" applyFont="1" applyFill="1" applyBorder="1" applyAlignment="1">
      <alignment horizontal="center" vertical="center" wrapText="1"/>
    </xf>
    <xf numFmtId="0" fontId="15" fillId="15" borderId="3" xfId="0" applyFont="1" applyFill="1" applyBorder="1" applyAlignment="1">
      <alignment horizontal="center" vertical="center" wrapText="1"/>
    </xf>
    <xf numFmtId="0" fontId="15" fillId="15" borderId="36" xfId="0" applyFont="1" applyFill="1" applyBorder="1" applyAlignment="1">
      <alignment horizontal="center" vertical="center" wrapText="1"/>
    </xf>
    <xf numFmtId="0" fontId="15" fillId="19" borderId="3" xfId="0" applyFont="1" applyFill="1" applyBorder="1" applyAlignment="1">
      <alignment horizontal="center" vertical="center"/>
    </xf>
    <xf numFmtId="0" fontId="15" fillId="19" borderId="3" xfId="0" applyFont="1" applyFill="1" applyBorder="1" applyAlignment="1">
      <alignment horizontal="center" vertical="center" wrapText="1"/>
    </xf>
    <xf numFmtId="0" fontId="16" fillId="16" borderId="23" xfId="0" applyFont="1" applyFill="1" applyBorder="1" applyAlignment="1">
      <alignment vertical="center"/>
    </xf>
    <xf numFmtId="0" fontId="16" fillId="16" borderId="3" xfId="0" applyFont="1" applyFill="1" applyBorder="1" applyAlignment="1">
      <alignment vertical="center"/>
    </xf>
    <xf numFmtId="0" fontId="16" fillId="19" borderId="2" xfId="0" applyFont="1" applyFill="1" applyBorder="1" applyAlignment="1">
      <alignment vertical="center"/>
    </xf>
    <xf numFmtId="0" fontId="16" fillId="16" borderId="2" xfId="0" applyFont="1" applyFill="1" applyBorder="1" applyAlignment="1">
      <alignment vertical="center" wrapText="1"/>
    </xf>
    <xf numFmtId="0" fontId="16" fillId="16" borderId="10" xfId="0" applyFont="1" applyFill="1" applyBorder="1" applyAlignment="1">
      <alignment vertical="center"/>
    </xf>
    <xf numFmtId="0" fontId="16" fillId="17" borderId="13" xfId="0" applyFont="1" applyFill="1" applyBorder="1" applyAlignment="1">
      <alignment vertical="center" wrapText="1"/>
    </xf>
    <xf numFmtId="0" fontId="16" fillId="17" borderId="1" xfId="0" applyFont="1" applyFill="1" applyBorder="1" applyAlignment="1">
      <alignment vertical="center" wrapText="1"/>
    </xf>
    <xf numFmtId="0" fontId="16" fillId="17" borderId="2" xfId="0" applyFont="1" applyFill="1" applyBorder="1" applyAlignment="1">
      <alignment vertical="center" wrapText="1"/>
    </xf>
    <xf numFmtId="0" fontId="16" fillId="17" borderId="10" xfId="0" applyFont="1" applyFill="1" applyBorder="1" applyAlignment="1">
      <alignment vertical="center"/>
    </xf>
    <xf numFmtId="0" fontId="16" fillId="15" borderId="13" xfId="0" applyFont="1" applyFill="1" applyBorder="1" applyAlignment="1">
      <alignment vertical="center" wrapText="1"/>
    </xf>
    <xf numFmtId="0" fontId="16" fillId="15" borderId="1" xfId="0" applyFont="1" applyFill="1" applyBorder="1" applyAlignment="1">
      <alignment vertical="center" wrapText="1"/>
    </xf>
    <xf numFmtId="0" fontId="16" fillId="15" borderId="2" xfId="0" applyFont="1" applyFill="1" applyBorder="1" applyAlignment="1">
      <alignment vertical="center" wrapText="1"/>
    </xf>
    <xf numFmtId="0" fontId="16" fillId="15" borderId="10" xfId="0" applyFont="1" applyFill="1" applyBorder="1" applyAlignment="1">
      <alignment vertical="center"/>
    </xf>
    <xf numFmtId="0" fontId="4" fillId="11" borderId="0" xfId="1" applyFill="1"/>
    <xf numFmtId="0" fontId="4" fillId="4" borderId="0" xfId="1" applyFill="1"/>
    <xf numFmtId="0" fontId="5" fillId="21" borderId="3" xfId="0" applyFont="1" applyFill="1" applyBorder="1" applyAlignment="1">
      <alignment horizontal="center" vertical="center"/>
    </xf>
    <xf numFmtId="0" fontId="5" fillId="21" borderId="36" xfId="0" applyFont="1" applyFill="1" applyBorder="1" applyAlignment="1">
      <alignment horizontal="center" vertical="center"/>
    </xf>
    <xf numFmtId="0" fontId="5" fillId="20" borderId="23" xfId="0" applyFont="1" applyFill="1" applyBorder="1" applyAlignment="1">
      <alignment horizontal="center" vertical="center" wrapText="1"/>
    </xf>
    <xf numFmtId="0" fontId="5" fillId="20" borderId="3" xfId="0" applyFont="1" applyFill="1" applyBorder="1" applyAlignment="1">
      <alignment horizontal="center" vertical="center" wrapText="1"/>
    </xf>
    <xf numFmtId="0" fontId="5" fillId="20" borderId="36" xfId="0" applyFont="1" applyFill="1" applyBorder="1" applyAlignment="1">
      <alignment horizontal="center" vertical="center" wrapText="1"/>
    </xf>
    <xf numFmtId="0" fontId="5" fillId="14" borderId="23" xfId="0" applyFont="1" applyFill="1" applyBorder="1" applyAlignment="1">
      <alignment horizontal="center" vertical="center" wrapText="1"/>
    </xf>
    <xf numFmtId="0" fontId="5" fillId="14" borderId="3" xfId="0" applyFont="1" applyFill="1" applyBorder="1" applyAlignment="1">
      <alignment horizontal="center" vertical="center" wrapText="1"/>
    </xf>
    <xf numFmtId="0" fontId="5" fillId="14" borderId="36" xfId="0" applyFont="1" applyFill="1" applyBorder="1" applyAlignment="1">
      <alignment horizontal="center" vertical="center" wrapText="1"/>
    </xf>
    <xf numFmtId="0" fontId="0" fillId="21" borderId="1" xfId="0" applyFill="1" applyBorder="1" applyAlignment="1">
      <alignment vertical="center"/>
    </xf>
    <xf numFmtId="0" fontId="0" fillId="21" borderId="18" xfId="0" applyFill="1" applyBorder="1" applyAlignment="1">
      <alignment vertical="center"/>
    </xf>
    <xf numFmtId="0" fontId="0" fillId="20" borderId="13" xfId="0" applyFill="1" applyBorder="1" applyAlignment="1">
      <alignment vertical="center" wrapText="1"/>
    </xf>
    <xf numFmtId="0" fontId="0" fillId="20" borderId="1" xfId="0" applyFill="1" applyBorder="1" applyAlignment="1">
      <alignment vertical="center" wrapText="1"/>
    </xf>
    <xf numFmtId="0" fontId="0" fillId="20" borderId="18" xfId="0" applyFill="1" applyBorder="1" applyAlignment="1">
      <alignment vertical="center" wrapText="1"/>
    </xf>
    <xf numFmtId="0" fontId="0" fillId="14" borderId="13" xfId="0" applyFill="1" applyBorder="1" applyAlignment="1">
      <alignment vertical="center" wrapText="1"/>
    </xf>
    <xf numFmtId="0" fontId="0" fillId="14" borderId="1" xfId="0" applyFill="1" applyBorder="1" applyAlignment="1">
      <alignment vertical="center" wrapText="1"/>
    </xf>
    <xf numFmtId="0" fontId="14" fillId="18" borderId="33" xfId="0" applyFont="1" applyFill="1" applyBorder="1"/>
    <xf numFmtId="0" fontId="0" fillId="21" borderId="13" xfId="0" applyFill="1" applyBorder="1" applyAlignment="1">
      <alignment vertical="center"/>
    </xf>
    <xf numFmtId="0" fontId="5" fillId="21" borderId="23" xfId="0" applyFont="1" applyFill="1" applyBorder="1" applyAlignment="1">
      <alignment horizontal="center" vertical="center"/>
    </xf>
    <xf numFmtId="0" fontId="5" fillId="4" borderId="6" xfId="0" applyFont="1" applyFill="1" applyBorder="1"/>
    <xf numFmtId="0" fontId="5" fillId="4" borderId="8" xfId="0" applyFont="1" applyFill="1" applyBorder="1"/>
    <xf numFmtId="0" fontId="5" fillId="12" borderId="8" xfId="0" applyFont="1" applyFill="1" applyBorder="1"/>
    <xf numFmtId="0" fontId="5" fillId="12" borderId="3" xfId="0" applyFont="1" applyFill="1" applyBorder="1" applyAlignment="1">
      <alignment horizontal="center" vertical="center"/>
    </xf>
    <xf numFmtId="0" fontId="5" fillId="12" borderId="3" xfId="0" applyFont="1" applyFill="1" applyBorder="1" applyAlignment="1">
      <alignment horizontal="center" vertical="center" wrapText="1"/>
    </xf>
    <xf numFmtId="0" fontId="17" fillId="4" borderId="0" xfId="1" applyFont="1" applyFill="1"/>
    <xf numFmtId="0" fontId="17" fillId="11" borderId="0" xfId="1" applyFont="1" applyFill="1"/>
    <xf numFmtId="0" fontId="0" fillId="14" borderId="18" xfId="0" applyFill="1" applyBorder="1" applyAlignment="1">
      <alignment vertical="center" wrapText="1"/>
    </xf>
    <xf numFmtId="0" fontId="12" fillId="0" borderId="0" xfId="0" applyFont="1"/>
    <xf numFmtId="2" fontId="10" fillId="0" borderId="2" xfId="0" applyNumberFormat="1" applyFont="1" applyBorder="1"/>
    <xf numFmtId="2" fontId="10" fillId="11" borderId="2" xfId="0" applyNumberFormat="1" applyFont="1" applyFill="1" applyBorder="1"/>
    <xf numFmtId="2" fontId="5" fillId="0" borderId="6" xfId="0" applyNumberFormat="1" applyFont="1" applyBorder="1"/>
    <xf numFmtId="2" fontId="5" fillId="0" borderId="8" xfId="0" applyNumberFormat="1" applyFont="1" applyBorder="1"/>
    <xf numFmtId="2" fontId="5" fillId="4" borderId="11" xfId="0" applyNumberFormat="1" applyFont="1" applyFill="1" applyBorder="1"/>
    <xf numFmtId="0" fontId="18" fillId="0" borderId="0" xfId="3" applyBorder="1" applyAlignment="1"/>
    <xf numFmtId="0" fontId="12" fillId="0" borderId="0" xfId="0" applyFont="1" applyAlignment="1">
      <alignment horizontal="center"/>
    </xf>
    <xf numFmtId="0" fontId="5" fillId="4" borderId="2" xfId="0" applyFont="1" applyFill="1" applyBorder="1" applyAlignment="1">
      <alignment horizontal="center" vertical="center"/>
    </xf>
    <xf numFmtId="0" fontId="0" fillId="11" borderId="2" xfId="0" applyFill="1" applyBorder="1" applyAlignment="1">
      <alignment horizontal="left" vertical="top"/>
    </xf>
    <xf numFmtId="0" fontId="0" fillId="0" borderId="2" xfId="0" applyBorder="1" applyAlignment="1">
      <alignment horizontal="left" vertical="top"/>
    </xf>
    <xf numFmtId="0" fontId="0" fillId="11" borderId="2" xfId="0" applyFill="1" applyBorder="1" applyAlignment="1">
      <alignment vertical="center"/>
    </xf>
    <xf numFmtId="0" fontId="0" fillId="0" borderId="2" xfId="0" applyBorder="1" applyAlignment="1">
      <alignment vertical="center"/>
    </xf>
    <xf numFmtId="0" fontId="9" fillId="7" borderId="24" xfId="0" applyFont="1" applyFill="1" applyBorder="1"/>
    <xf numFmtId="22" fontId="0" fillId="0" borderId="0" xfId="0" applyNumberFormat="1"/>
    <xf numFmtId="14" fontId="5" fillId="4" borderId="2" xfId="0" applyNumberFormat="1" applyFont="1" applyFill="1" applyBorder="1" applyAlignment="1">
      <alignment horizontal="center" vertical="center"/>
    </xf>
    <xf numFmtId="14" fontId="0" fillId="0" borderId="2" xfId="0" applyNumberFormat="1" applyBorder="1"/>
    <xf numFmtId="0" fontId="0" fillId="8" borderId="2" xfId="0" applyFill="1" applyBorder="1" applyAlignment="1">
      <alignment horizontal="center" vertical="center"/>
    </xf>
    <xf numFmtId="0" fontId="0" fillId="23" borderId="2" xfId="0" applyFill="1" applyBorder="1" applyAlignment="1">
      <alignment horizontal="center" vertical="center"/>
    </xf>
    <xf numFmtId="0" fontId="0" fillId="24" borderId="2" xfId="0" applyFill="1" applyBorder="1" applyAlignment="1">
      <alignment horizontal="center" vertical="center"/>
    </xf>
    <xf numFmtId="0" fontId="0" fillId="24" borderId="2" xfId="0" applyFill="1" applyBorder="1" applyAlignment="1">
      <alignment horizontal="center"/>
    </xf>
    <xf numFmtId="0" fontId="0" fillId="22" borderId="2" xfId="0" applyFill="1" applyBorder="1" applyAlignment="1">
      <alignment horizontal="center" vertical="center" wrapText="1"/>
    </xf>
    <xf numFmtId="22" fontId="19" fillId="0" borderId="0" xfId="0" applyNumberFormat="1" applyFont="1" applyAlignment="1">
      <alignment vertical="center"/>
    </xf>
    <xf numFmtId="14" fontId="19" fillId="0" borderId="0" xfId="0" applyNumberFormat="1" applyFont="1" applyAlignment="1">
      <alignment vertical="center"/>
    </xf>
    <xf numFmtId="0" fontId="0" fillId="0" borderId="42" xfId="0" applyBorder="1"/>
    <xf numFmtId="14" fontId="19" fillId="0" borderId="2" xfId="0" applyNumberFormat="1" applyFont="1" applyBorder="1" applyAlignment="1">
      <alignment vertical="center"/>
    </xf>
    <xf numFmtId="0" fontId="9" fillId="7" borderId="42" xfId="0" applyFont="1" applyFill="1" applyBorder="1"/>
    <xf numFmtId="0" fontId="9" fillId="5" borderId="42" xfId="0" applyFont="1" applyFill="1" applyBorder="1" applyAlignment="1">
      <alignment horizontal="center" vertical="center"/>
    </xf>
    <xf numFmtId="0" fontId="9" fillId="0" borderId="42" xfId="0" applyFont="1" applyBorder="1"/>
    <xf numFmtId="0" fontId="9" fillId="0" borderId="42" xfId="0" applyFont="1" applyBorder="1" applyAlignment="1">
      <alignment horizontal="left" vertical="top"/>
    </xf>
    <xf numFmtId="0" fontId="9" fillId="0" borderId="42" xfId="0" applyFont="1" applyBorder="1" applyAlignment="1">
      <alignment horizontal="center" vertical="center"/>
    </xf>
    <xf numFmtId="0" fontId="0" fillId="0" borderId="2" xfId="0" applyBorder="1" applyAlignment="1">
      <alignment wrapText="1"/>
    </xf>
    <xf numFmtId="0" fontId="1" fillId="21" borderId="12" xfId="0" applyFont="1" applyFill="1" applyBorder="1" applyAlignment="1">
      <alignment horizontal="left" vertical="center" wrapText="1"/>
    </xf>
    <xf numFmtId="0" fontId="1" fillId="21" borderId="15" xfId="0" applyFont="1" applyFill="1" applyBorder="1" applyAlignment="1">
      <alignment horizontal="left" vertical="center" wrapText="1"/>
    </xf>
    <xf numFmtId="0" fontId="1" fillId="21" borderId="17" xfId="0" applyFont="1" applyFill="1" applyBorder="1" applyAlignment="1">
      <alignment horizontal="left" vertical="center" wrapText="1"/>
    </xf>
    <xf numFmtId="0" fontId="1" fillId="20" borderId="12" xfId="0" applyFont="1" applyFill="1" applyBorder="1" applyAlignment="1">
      <alignment horizontal="left" vertical="center" wrapText="1"/>
    </xf>
    <xf numFmtId="0" fontId="1" fillId="20" borderId="15" xfId="0" applyFont="1" applyFill="1" applyBorder="1" applyAlignment="1">
      <alignment horizontal="left" vertical="center" wrapText="1"/>
    </xf>
    <xf numFmtId="0" fontId="1" fillId="20" borderId="17" xfId="0" applyFont="1" applyFill="1" applyBorder="1" applyAlignment="1">
      <alignment horizontal="left" vertical="center" wrapText="1"/>
    </xf>
    <xf numFmtId="0" fontId="1" fillId="14" borderId="20" xfId="0" applyFont="1" applyFill="1" applyBorder="1" applyAlignment="1">
      <alignment horizontal="left" vertical="center" wrapText="1"/>
    </xf>
    <xf numFmtId="0" fontId="1" fillId="14" borderId="21" xfId="0" applyFont="1" applyFill="1" applyBorder="1" applyAlignment="1">
      <alignment horizontal="left" vertical="center" wrapText="1"/>
    </xf>
    <xf numFmtId="0" fontId="1" fillId="14" borderId="22" xfId="0" applyFont="1" applyFill="1" applyBorder="1" applyAlignment="1">
      <alignment horizontal="left" vertical="center" wrapText="1"/>
    </xf>
    <xf numFmtId="0" fontId="6" fillId="16" borderId="12" xfId="0" applyFont="1" applyFill="1" applyBorder="1" applyAlignment="1">
      <alignment horizontal="left" vertical="center" wrapText="1"/>
    </xf>
    <xf numFmtId="0" fontId="6" fillId="16" borderId="15" xfId="0" applyFont="1" applyFill="1" applyBorder="1" applyAlignment="1">
      <alignment horizontal="left" vertical="center" wrapText="1"/>
    </xf>
    <xf numFmtId="0" fontId="6" fillId="16" borderId="17" xfId="0" applyFont="1" applyFill="1" applyBorder="1" applyAlignment="1">
      <alignment horizontal="left" vertical="center" wrapText="1"/>
    </xf>
    <xf numFmtId="0" fontId="13" fillId="6" borderId="34" xfId="0" applyFont="1" applyFill="1" applyBorder="1" applyAlignment="1">
      <alignment horizontal="center" vertical="center"/>
    </xf>
    <xf numFmtId="0" fontId="13" fillId="6" borderId="35" xfId="0" applyFont="1" applyFill="1" applyBorder="1" applyAlignment="1">
      <alignment horizontal="center" vertical="center"/>
    </xf>
    <xf numFmtId="0" fontId="3" fillId="3" borderId="0" xfId="2" applyAlignment="1">
      <alignment horizontal="center"/>
    </xf>
    <xf numFmtId="0" fontId="0" fillId="0" borderId="0" xfId="0" applyAlignment="1">
      <alignment horizontal="center"/>
    </xf>
    <xf numFmtId="0" fontId="0" fillId="0" borderId="12" xfId="0" applyBorder="1" applyAlignment="1">
      <alignment horizontal="center" vertical="center"/>
    </xf>
    <xf numFmtId="0" fontId="0" fillId="0" borderId="38" xfId="0" applyBorder="1" applyAlignment="1">
      <alignment horizontal="center" vertical="center"/>
    </xf>
    <xf numFmtId="0" fontId="0" fillId="0" borderId="39" xfId="0" applyBorder="1" applyAlignment="1">
      <alignment horizontal="center" vertical="center"/>
    </xf>
    <xf numFmtId="0" fontId="0" fillId="0" borderId="17" xfId="0" applyBorder="1" applyAlignment="1">
      <alignment horizontal="center" vertical="center"/>
    </xf>
    <xf numFmtId="0" fontId="0" fillId="0" borderId="40" xfId="0" applyBorder="1" applyAlignment="1">
      <alignment horizontal="center" vertical="center"/>
    </xf>
    <xf numFmtId="0" fontId="0" fillId="0" borderId="41" xfId="0" applyBorder="1" applyAlignment="1">
      <alignment horizontal="center" vertical="center"/>
    </xf>
    <xf numFmtId="0" fontId="0" fillId="8" borderId="2" xfId="0" applyFill="1" applyBorder="1" applyAlignment="1">
      <alignment horizontal="left" vertical="top"/>
    </xf>
    <xf numFmtId="0" fontId="0" fillId="2" borderId="0" xfId="0" applyFill="1" applyAlignment="1">
      <alignment horizontal="center"/>
    </xf>
    <xf numFmtId="0" fontId="0" fillId="20" borderId="0" xfId="0" applyFill="1" applyAlignment="1">
      <alignment horizontal="center"/>
    </xf>
  </cellXfs>
  <cellStyles count="4">
    <cellStyle name="20% - Accent1" xfId="2" builtinId="30"/>
    <cellStyle name="Heading 1" xfId="3" builtinId="16"/>
    <cellStyle name="Normal" xfId="0" builtinId="0"/>
    <cellStyle name="Title" xfId="1" builtinId="15"/>
  </cellStyles>
  <dxfs count="9">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4" tint="-0.24994659260841701"/>
      </font>
    </dxf>
    <dxf>
      <font>
        <color theme="6" tint="-0.49998474074526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rech_etu_infos!$C$8</c:f>
          <c:strCache>
            <c:ptCount val="1"/>
            <c:pt idx="0">
              <c:v>Ratio des Notes de DUBOIS JEAN par matière pour le semestre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xmlns:c15="http://schemas.microsoft.com/office/drawing/2012/chart" uri="{02D57815-91ED-43cb-92C2-25804820EDAC}">
                  <c15:fullRef>
                    <c15:sqref>rech_etu_infos!$B$11:$B$28</c15:sqref>
                  </c15:fullRef>
                </c:ext>
              </c:extLst>
              <c:f>(rech_etu_infos!$B$11:$B$13,rech_etu_infos!$B$15:$B$19,rech_etu_infos!$B$21:$B$28)</c:f>
              <c:strCache>
                <c:ptCount val="16"/>
                <c:pt idx="0">
                  <c:v>Tableur et Reporting</c:v>
                </c:pt>
                <c:pt idx="1">
                  <c:v>Bases de données relationnelles 1</c:v>
                </c:pt>
                <c:pt idx="2">
                  <c:v>Bases de la programmation 1</c:v>
                </c:pt>
                <c:pt idx="3">
                  <c:v>SAÉ - Reporting à partir de données stockées dans un SGBD relationnel </c:v>
                </c:pt>
                <c:pt idx="4">
                  <c:v>SAÉ - Écriture et lecture de fichiers de données</c:v>
                </c:pt>
                <c:pt idx="5">
                  <c:v>Statistique descriptive 1</c:v>
                </c:pt>
                <c:pt idx="6">
                  <c:v>Probabilités 1</c:v>
                </c:pt>
                <c:pt idx="7">
                  <c:v>Mathématiques - analyse</c:v>
                </c:pt>
                <c:pt idx="8">
                  <c:v>SAÉ - Préparation et synthèse d'un tableau de données en vue d'une analyse exploratoire simple</c:v>
                </c:pt>
                <c:pt idx="9">
                  <c:v>Initiation à l'anglais de spécialité</c:v>
                </c:pt>
                <c:pt idx="10">
                  <c:v>Communication de l'information et recherche documentaire</c:v>
                </c:pt>
                <c:pt idx="11">
                  <c:v>Découverte des données de l’environnement entrepreneurial et économique </c:v>
                </c:pt>
                <c:pt idx="12">
                  <c:v>PPP1</c:v>
                </c:pt>
                <c:pt idx="13">
                  <c:v>SAÉ - Apprendre en situation la production de données en entreprise</c:v>
                </c:pt>
                <c:pt idx="14">
                  <c:v>SAÉ - Présentation en anglais d'un territoire économique et culturel</c:v>
                </c:pt>
                <c:pt idx="15">
                  <c:v>SAÉ - Mise en oeuvre d'une enquête</c:v>
                </c:pt>
              </c:strCache>
            </c:strRef>
          </c:cat>
          <c:val>
            <c:numRef>
              <c:extLst>
                <c:ext xmlns:c15="http://schemas.microsoft.com/office/drawing/2012/chart" uri="{02D57815-91ED-43cb-92C2-25804820EDAC}">
                  <c15:fullRef>
                    <c15:sqref>rech_etu_infos!$C$11:$C$28</c15:sqref>
                  </c15:fullRef>
                </c:ext>
              </c:extLst>
              <c:f>(rech_etu_infos!$C$11:$C$13,rech_etu_infos!$C$15:$C$19,rech_etu_infos!$C$21:$C$28)</c:f>
              <c:numCache>
                <c:formatCode>General</c:formatCode>
                <c:ptCount val="16"/>
                <c:pt idx="0">
                  <c:v>10.5</c:v>
                </c:pt>
                <c:pt idx="1">
                  <c:v>11.5</c:v>
                </c:pt>
                <c:pt idx="2">
                  <c:v>12.5</c:v>
                </c:pt>
                <c:pt idx="3">
                  <c:v>14.5</c:v>
                </c:pt>
                <c:pt idx="4">
                  <c:v>0</c:v>
                </c:pt>
                <c:pt idx="5">
                  <c:v>0</c:v>
                </c:pt>
                <c:pt idx="6">
                  <c:v>0</c:v>
                </c:pt>
                <c:pt idx="7">
                  <c:v>0</c:v>
                </c:pt>
                <c:pt idx="8">
                  <c:v>0</c:v>
                </c:pt>
                <c:pt idx="9">
                  <c:v>0</c:v>
                </c:pt>
                <c:pt idx="10">
                  <c:v>0</c:v>
                </c:pt>
                <c:pt idx="11">
                  <c:v>0</c:v>
                </c:pt>
                <c:pt idx="12">
                  <c:v>13.5</c:v>
                </c:pt>
                <c:pt idx="13">
                  <c:v>0</c:v>
                </c:pt>
                <c:pt idx="14">
                  <c:v>0</c:v>
                </c:pt>
                <c:pt idx="15">
                  <c:v>0</c:v>
                </c:pt>
              </c:numCache>
            </c:numRef>
          </c:val>
          <c:extLst>
            <c:ext xmlns:c16="http://schemas.microsoft.com/office/drawing/2014/chart" uri="{C3380CC4-5D6E-409C-BE32-E72D297353CC}">
              <c16:uniqueId val="{00000000-D836-4E2A-B7AC-9BBAA7B01C4E}"/>
            </c:ext>
          </c:extLst>
        </c:ser>
        <c:dLbls>
          <c:showLegendKey val="0"/>
          <c:showVal val="0"/>
          <c:showCatName val="0"/>
          <c:showSerName val="0"/>
          <c:showPercent val="0"/>
          <c:showBubbleSize val="0"/>
        </c:dLbls>
        <c:axId val="1261452671"/>
        <c:axId val="1261451839"/>
      </c:radarChart>
      <c:catAx>
        <c:axId val="1261452671"/>
        <c:scaling>
          <c:orientation val="minMax"/>
        </c:scaling>
        <c:delete val="0"/>
        <c:axPos val="b"/>
        <c:numFmt formatCode="General" sourceLinked="1"/>
        <c:majorTickMark val="none"/>
        <c:minorTickMark val="none"/>
        <c:tickLblPos val="nextTo"/>
        <c:spPr>
          <a:noFill/>
          <a:ln w="25400"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451839"/>
        <c:crosses val="autoZero"/>
        <c:auto val="1"/>
        <c:lblAlgn val="ctr"/>
        <c:lblOffset val="100"/>
        <c:noMultiLvlLbl val="0"/>
      </c:catAx>
      <c:valAx>
        <c:axId val="1261451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452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rech_etu_infos!$C$30</c:f>
          <c:strCache>
            <c:ptCount val="1"/>
            <c:pt idx="0">
              <c:v>Ratio des Notes de DUBOIS JEAN par matière pour le semestre 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xmlns:c15="http://schemas.microsoft.com/office/drawing/2012/chart" uri="{02D57815-91ED-43cb-92C2-25804820EDAC}">
                  <c15:fullRef>
                    <c15:sqref>rech_etu_infos!$B$32:$B$58</c15:sqref>
                  </c15:fullRef>
                </c:ext>
              </c:extLst>
              <c:f>(rech_etu_infos!$B$32:$B$35,rech_etu_infos!$B$37:$B$44,rech_etu_infos!$B$46:$B$58)</c:f>
              <c:strCache>
                <c:ptCount val="25"/>
                <c:pt idx="0">
                  <c:v>Reporting et datavisualisation</c:v>
                </c:pt>
                <c:pt idx="1">
                  <c:v>Bases de données relationnelles 2</c:v>
                </c:pt>
                <c:pt idx="2">
                  <c:v>Bases de la programmation 2</c:v>
                </c:pt>
                <c:pt idx="3">
                  <c:v>Programmation statistique</c:v>
                </c:pt>
                <c:pt idx="4">
                  <c:v>SAÉ - Conception et implémentation d'une base de données</c:v>
                </c:pt>
                <c:pt idx="5">
                  <c:v>SAÉ - Datavisualisation</c:v>
                </c:pt>
                <c:pt idx="6">
                  <c:v>SAÉ - Analyse de données, reporting et datavisualisation</c:v>
                </c:pt>
                <c:pt idx="7">
                  <c:v>SAÉ - Portfolio</c:v>
                </c:pt>
                <c:pt idx="8">
                  <c:v>Statistique descriptive 2</c:v>
                </c:pt>
                <c:pt idx="9">
                  <c:v>Probabilités 2</c:v>
                </c:pt>
                <c:pt idx="10">
                  <c:v>Bases de l'algèbre</c:v>
                </c:pt>
                <c:pt idx="11">
                  <c:v>Statistique inférentielle</c:v>
                </c:pt>
                <c:pt idx="12">
                  <c:v>SAÉ - Estimation par échantillonnage</c:v>
                </c:pt>
                <c:pt idx="13">
                  <c:v>SAÉ - Régression sur des données réelles</c:v>
                </c:pt>
                <c:pt idx="14">
                  <c:v>SAÉ - Datavisualisation</c:v>
                </c:pt>
                <c:pt idx="15">
                  <c:v>SAÉ - Analyse de données, reporting et datavisualisation</c:v>
                </c:pt>
                <c:pt idx="16">
                  <c:v>SAÉ - Portfolio</c:v>
                </c:pt>
                <c:pt idx="17">
                  <c:v>Approfondissement de l'anglais de spécialité</c:v>
                </c:pt>
                <c:pt idx="18">
                  <c:v>Communication et sémiologie</c:v>
                </c:pt>
                <c:pt idx="19">
                  <c:v>Étude des données de l'environnement entrepreneurial et économique</c:v>
                </c:pt>
                <c:pt idx="20">
                  <c:v>PPP2</c:v>
                </c:pt>
                <c:pt idx="21">
                  <c:v>SAÉ - Datavisualisation</c:v>
                </c:pt>
                <c:pt idx="22">
                  <c:v>SAÉ - Construction et présentation d'indicateurs de performance</c:v>
                </c:pt>
                <c:pt idx="23">
                  <c:v>SAÉ - Analyse de données, reporting et datavisualisation</c:v>
                </c:pt>
                <c:pt idx="24">
                  <c:v>SAÉ - Portfolio</c:v>
                </c:pt>
              </c:strCache>
            </c:strRef>
          </c:cat>
          <c:val>
            <c:numRef>
              <c:extLst>
                <c:ext xmlns:c15="http://schemas.microsoft.com/office/drawing/2012/chart" uri="{02D57815-91ED-43cb-92C2-25804820EDAC}">
                  <c15:fullRef>
                    <c15:sqref>rech_etu_infos!$C$32:$C$58</c15:sqref>
                  </c15:fullRef>
                </c:ext>
              </c:extLst>
              <c:f>(rech_etu_infos!$C$32:$C$35,rech_etu_infos!$C$37:$C$44,rech_etu_infos!$C$46:$C$58)</c:f>
              <c:numCache>
                <c:formatCode>General</c:formatCode>
                <c:ptCount val="25"/>
                <c:pt idx="0">
                  <c:v>8.5</c:v>
                </c:pt>
                <c:pt idx="1">
                  <c:v>13</c:v>
                </c:pt>
                <c:pt idx="2">
                  <c:v>14.5</c:v>
                </c:pt>
                <c:pt idx="3">
                  <c:v>13.181818181818182</c:v>
                </c:pt>
                <c:pt idx="4">
                  <c:v>10.5</c:v>
                </c:pt>
                <c:pt idx="5">
                  <c:v>11</c:v>
                </c:pt>
                <c:pt idx="6">
                  <c:v>17.5</c:v>
                </c:pt>
                <c:pt idx="7">
                  <c:v>13.5</c:v>
                </c:pt>
                <c:pt idx="8">
                  <c:v>0</c:v>
                </c:pt>
                <c:pt idx="9">
                  <c:v>0</c:v>
                </c:pt>
                <c:pt idx="10">
                  <c:v>0</c:v>
                </c:pt>
                <c:pt idx="11">
                  <c:v>0</c:v>
                </c:pt>
                <c:pt idx="12">
                  <c:v>0</c:v>
                </c:pt>
                <c:pt idx="13">
                  <c:v>0</c:v>
                </c:pt>
                <c:pt idx="14">
                  <c:v>11</c:v>
                </c:pt>
                <c:pt idx="15">
                  <c:v>17.5</c:v>
                </c:pt>
                <c:pt idx="16">
                  <c:v>13.5</c:v>
                </c:pt>
                <c:pt idx="17">
                  <c:v>0</c:v>
                </c:pt>
                <c:pt idx="18">
                  <c:v>0</c:v>
                </c:pt>
                <c:pt idx="19">
                  <c:v>0</c:v>
                </c:pt>
                <c:pt idx="20">
                  <c:v>13.5</c:v>
                </c:pt>
                <c:pt idx="21">
                  <c:v>11</c:v>
                </c:pt>
                <c:pt idx="22">
                  <c:v>0</c:v>
                </c:pt>
                <c:pt idx="23">
                  <c:v>17.5</c:v>
                </c:pt>
                <c:pt idx="24">
                  <c:v>13.5</c:v>
                </c:pt>
              </c:numCache>
            </c:numRef>
          </c:val>
          <c:extLst>
            <c:ext xmlns:c16="http://schemas.microsoft.com/office/drawing/2014/chart" uri="{C3380CC4-5D6E-409C-BE32-E72D297353CC}">
              <c16:uniqueId val="{00000000-DCF6-4341-8E99-627985406173}"/>
            </c:ext>
          </c:extLst>
        </c:ser>
        <c:dLbls>
          <c:showLegendKey val="0"/>
          <c:showVal val="0"/>
          <c:showCatName val="0"/>
          <c:showSerName val="0"/>
          <c:showPercent val="0"/>
          <c:showBubbleSize val="0"/>
        </c:dLbls>
        <c:axId val="2115800975"/>
        <c:axId val="2115800143"/>
      </c:radarChart>
      <c:catAx>
        <c:axId val="2115800975"/>
        <c:scaling>
          <c:orientation val="minMax"/>
        </c:scaling>
        <c:delete val="0"/>
        <c:axPos val="b"/>
        <c:numFmt formatCode="General" sourceLinked="1"/>
        <c:majorTickMark val="none"/>
        <c:minorTickMark val="none"/>
        <c:tickLblPos val="nextTo"/>
        <c:spPr>
          <a:noFill/>
          <a:ln w="25400"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5800143"/>
        <c:crosses val="autoZero"/>
        <c:auto val="1"/>
        <c:lblAlgn val="ctr"/>
        <c:lblOffset val="100"/>
        <c:noMultiLvlLbl val="0"/>
      </c:catAx>
      <c:valAx>
        <c:axId val="21158001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5800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jfif"/><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jfif"/></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jfif"/></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9.emf"/><Relationship Id="rId1" Type="http://schemas.openxmlformats.org/officeDocument/2006/relationships/image" Target="../media/image8.emf"/><Relationship Id="rId4"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5</xdr:col>
      <xdr:colOff>602454</xdr:colOff>
      <xdr:row>3</xdr:row>
      <xdr:rowOff>0</xdr:rowOff>
    </xdr:from>
    <xdr:to>
      <xdr:col>13</xdr:col>
      <xdr:colOff>654843</xdr:colOff>
      <xdr:row>21</xdr:row>
      <xdr:rowOff>107156</xdr:rowOff>
    </xdr:to>
    <xdr:graphicFrame macro="">
      <xdr:nvGraphicFramePr>
        <xdr:cNvPr id="2" name="Graphique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490677</xdr:colOff>
      <xdr:row>31</xdr:row>
      <xdr:rowOff>166736</xdr:rowOff>
    </xdr:from>
    <xdr:to>
      <xdr:col>13</xdr:col>
      <xdr:colOff>952407</xdr:colOff>
      <xdr:row>50</xdr:row>
      <xdr:rowOff>165194</xdr:rowOff>
    </xdr:to>
    <xdr:graphicFrame macro="">
      <xdr:nvGraphicFramePr>
        <xdr:cNvPr id="3" name="Graphique 2">
          <a:extLst>
            <a:ext uri="{FF2B5EF4-FFF2-40B4-BE49-F238E27FC236}">
              <a16:creationId xmlns:a16="http://schemas.microsoft.com/office/drawing/2014/main" id="{00000000-0008-0000-0400-000003000000}"/>
            </a:ext>
            <a:ext uri="{147F2762-F138-4A5C-976F-8EAC2B608ADB}">
              <a16:predDERef xmlns:a16="http://schemas.microsoft.com/office/drawing/2014/main" pre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750094</xdr:colOff>
      <xdr:row>62</xdr:row>
      <xdr:rowOff>119062</xdr:rowOff>
    </xdr:from>
    <xdr:ext cx="184731" cy="264560"/>
    <xdr:sp macro="" textlink="">
      <xdr:nvSpPr>
        <xdr:cNvPr id="4" name="ZoneTexte 3">
          <a:extLst>
            <a:ext uri="{FF2B5EF4-FFF2-40B4-BE49-F238E27FC236}">
              <a16:creationId xmlns:a16="http://schemas.microsoft.com/office/drawing/2014/main" id="{00000000-0008-0000-0400-000004000000}"/>
            </a:ext>
          </a:extLst>
        </xdr:cNvPr>
        <xdr:cNvSpPr txBox="1"/>
      </xdr:nvSpPr>
      <xdr:spPr>
        <a:xfrm>
          <a:off x="750094" y="13430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oneCellAnchor>
    <xdr:from>
      <xdr:col>0</xdr:col>
      <xdr:colOff>1035844</xdr:colOff>
      <xdr:row>63</xdr:row>
      <xdr:rowOff>166687</xdr:rowOff>
    </xdr:from>
    <xdr:ext cx="184731" cy="264560"/>
    <xdr:sp macro="" textlink="">
      <xdr:nvSpPr>
        <xdr:cNvPr id="5" name="ZoneTexte 4">
          <a:extLst>
            <a:ext uri="{FF2B5EF4-FFF2-40B4-BE49-F238E27FC236}">
              <a16:creationId xmlns:a16="http://schemas.microsoft.com/office/drawing/2014/main" id="{00000000-0008-0000-0400-000005000000}"/>
            </a:ext>
          </a:extLst>
        </xdr:cNvPr>
        <xdr:cNvSpPr txBox="1"/>
      </xdr:nvSpPr>
      <xdr:spPr>
        <a:xfrm>
          <a:off x="1035844" y="13668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oneCellAnchor>
    <xdr:from>
      <xdr:col>1</xdr:col>
      <xdr:colOff>714374</xdr:colOff>
      <xdr:row>67</xdr:row>
      <xdr:rowOff>-1</xdr:rowOff>
    </xdr:from>
    <xdr:ext cx="184731" cy="264560"/>
    <xdr:sp macro="" textlink="">
      <xdr:nvSpPr>
        <xdr:cNvPr id="6" name="ZoneTexte 5">
          <a:extLst>
            <a:ext uri="{FF2B5EF4-FFF2-40B4-BE49-F238E27FC236}">
              <a16:creationId xmlns:a16="http://schemas.microsoft.com/office/drawing/2014/main" id="{00000000-0008-0000-0400-000006000000}"/>
            </a:ext>
          </a:extLst>
        </xdr:cNvPr>
        <xdr:cNvSpPr txBox="1"/>
      </xdr:nvSpPr>
      <xdr:spPr>
        <a:xfrm>
          <a:off x="1881187" y="142636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oneCellAnchor>
    <xdr:from>
      <xdr:col>1</xdr:col>
      <xdr:colOff>1952624</xdr:colOff>
      <xdr:row>62</xdr:row>
      <xdr:rowOff>71437</xdr:rowOff>
    </xdr:from>
    <xdr:ext cx="184731" cy="264560"/>
    <xdr:sp macro="" textlink="">
      <xdr:nvSpPr>
        <xdr:cNvPr id="7" name="ZoneTexte 6">
          <a:extLst>
            <a:ext uri="{FF2B5EF4-FFF2-40B4-BE49-F238E27FC236}">
              <a16:creationId xmlns:a16="http://schemas.microsoft.com/office/drawing/2014/main" id="{00000000-0008-0000-0400-000007000000}"/>
            </a:ext>
          </a:extLst>
        </xdr:cNvPr>
        <xdr:cNvSpPr txBox="1"/>
      </xdr:nvSpPr>
      <xdr:spPr>
        <a:xfrm>
          <a:off x="3119437" y="1338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oneCellAnchor>
    <xdr:from>
      <xdr:col>0</xdr:col>
      <xdr:colOff>761999</xdr:colOff>
      <xdr:row>69</xdr:row>
      <xdr:rowOff>95250</xdr:rowOff>
    </xdr:from>
    <xdr:ext cx="6703219" cy="1567096"/>
    <xdr:sp macro="" textlink="$J$54">
      <xdr:nvSpPr>
        <xdr:cNvPr id="8" name="ZoneTexte 7">
          <a:extLst>
            <a:ext uri="{FF2B5EF4-FFF2-40B4-BE49-F238E27FC236}">
              <a16:creationId xmlns:a16="http://schemas.microsoft.com/office/drawing/2014/main" id="{00000000-0008-0000-0400-000008000000}"/>
            </a:ext>
          </a:extLst>
        </xdr:cNvPr>
        <xdr:cNvSpPr txBox="1"/>
      </xdr:nvSpPr>
      <xdr:spPr>
        <a:xfrm>
          <a:off x="761999" y="14739938"/>
          <a:ext cx="6703219" cy="1567096"/>
        </a:xfrm>
        <a:custGeom>
          <a:avLst/>
          <a:gdLst>
            <a:gd name="connsiteX0" fmla="*/ 0 w 6703219"/>
            <a:gd name="connsiteY0" fmla="*/ 0 h 1567096"/>
            <a:gd name="connsiteX1" fmla="*/ 536258 w 6703219"/>
            <a:gd name="connsiteY1" fmla="*/ 0 h 1567096"/>
            <a:gd name="connsiteX2" fmla="*/ 1072515 w 6703219"/>
            <a:gd name="connsiteY2" fmla="*/ 0 h 1567096"/>
            <a:gd name="connsiteX3" fmla="*/ 1742837 w 6703219"/>
            <a:gd name="connsiteY3" fmla="*/ 0 h 1567096"/>
            <a:gd name="connsiteX4" fmla="*/ 2480191 w 6703219"/>
            <a:gd name="connsiteY4" fmla="*/ 0 h 1567096"/>
            <a:gd name="connsiteX5" fmla="*/ 3016449 w 6703219"/>
            <a:gd name="connsiteY5" fmla="*/ 0 h 1567096"/>
            <a:gd name="connsiteX6" fmla="*/ 3686770 w 6703219"/>
            <a:gd name="connsiteY6" fmla="*/ 0 h 1567096"/>
            <a:gd name="connsiteX7" fmla="*/ 4223028 w 6703219"/>
            <a:gd name="connsiteY7" fmla="*/ 0 h 1567096"/>
            <a:gd name="connsiteX8" fmla="*/ 5027414 w 6703219"/>
            <a:gd name="connsiteY8" fmla="*/ 0 h 1567096"/>
            <a:gd name="connsiteX9" fmla="*/ 5764768 w 6703219"/>
            <a:gd name="connsiteY9" fmla="*/ 0 h 1567096"/>
            <a:gd name="connsiteX10" fmla="*/ 6703219 w 6703219"/>
            <a:gd name="connsiteY10" fmla="*/ 0 h 1567096"/>
            <a:gd name="connsiteX11" fmla="*/ 6703219 w 6703219"/>
            <a:gd name="connsiteY11" fmla="*/ 522365 h 1567096"/>
            <a:gd name="connsiteX12" fmla="*/ 6703219 w 6703219"/>
            <a:gd name="connsiteY12" fmla="*/ 997718 h 1567096"/>
            <a:gd name="connsiteX13" fmla="*/ 6703219 w 6703219"/>
            <a:gd name="connsiteY13" fmla="*/ 1567096 h 1567096"/>
            <a:gd name="connsiteX14" fmla="*/ 6099929 w 6703219"/>
            <a:gd name="connsiteY14" fmla="*/ 1567096 h 1567096"/>
            <a:gd name="connsiteX15" fmla="*/ 5496640 w 6703219"/>
            <a:gd name="connsiteY15" fmla="*/ 1567096 h 1567096"/>
            <a:gd name="connsiteX16" fmla="*/ 4893350 w 6703219"/>
            <a:gd name="connsiteY16" fmla="*/ 1567096 h 1567096"/>
            <a:gd name="connsiteX17" fmla="*/ 4223028 w 6703219"/>
            <a:gd name="connsiteY17" fmla="*/ 1567096 h 1567096"/>
            <a:gd name="connsiteX18" fmla="*/ 3686770 w 6703219"/>
            <a:gd name="connsiteY18" fmla="*/ 1567096 h 1567096"/>
            <a:gd name="connsiteX19" fmla="*/ 3217545 w 6703219"/>
            <a:gd name="connsiteY19" fmla="*/ 1567096 h 1567096"/>
            <a:gd name="connsiteX20" fmla="*/ 2681288 w 6703219"/>
            <a:gd name="connsiteY20" fmla="*/ 1567096 h 1567096"/>
            <a:gd name="connsiteX21" fmla="*/ 2077998 w 6703219"/>
            <a:gd name="connsiteY21" fmla="*/ 1567096 h 1567096"/>
            <a:gd name="connsiteX22" fmla="*/ 1474708 w 6703219"/>
            <a:gd name="connsiteY22" fmla="*/ 1567096 h 1567096"/>
            <a:gd name="connsiteX23" fmla="*/ 1005483 w 6703219"/>
            <a:gd name="connsiteY23" fmla="*/ 1567096 h 1567096"/>
            <a:gd name="connsiteX24" fmla="*/ 0 w 6703219"/>
            <a:gd name="connsiteY24" fmla="*/ 1567096 h 1567096"/>
            <a:gd name="connsiteX25" fmla="*/ 0 w 6703219"/>
            <a:gd name="connsiteY25" fmla="*/ 1013389 h 1567096"/>
            <a:gd name="connsiteX26" fmla="*/ 0 w 6703219"/>
            <a:gd name="connsiteY26" fmla="*/ 538036 h 1567096"/>
            <a:gd name="connsiteX27" fmla="*/ 0 w 6703219"/>
            <a:gd name="connsiteY27" fmla="*/ 0 h 156709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6703219" h="1567096" fill="none" extrusionOk="0">
              <a:moveTo>
                <a:pt x="0" y="0"/>
              </a:moveTo>
              <a:cubicBezTo>
                <a:pt x="143854" y="2503"/>
                <a:pt x="297303" y="478"/>
                <a:pt x="536258" y="0"/>
              </a:cubicBezTo>
              <a:cubicBezTo>
                <a:pt x="775213" y="-478"/>
                <a:pt x="862763" y="23549"/>
                <a:pt x="1072515" y="0"/>
              </a:cubicBezTo>
              <a:cubicBezTo>
                <a:pt x="1282267" y="-23549"/>
                <a:pt x="1480546" y="6492"/>
                <a:pt x="1742837" y="0"/>
              </a:cubicBezTo>
              <a:cubicBezTo>
                <a:pt x="2005128" y="-6492"/>
                <a:pt x="2268381" y="-12437"/>
                <a:pt x="2480191" y="0"/>
              </a:cubicBezTo>
              <a:cubicBezTo>
                <a:pt x="2692001" y="12437"/>
                <a:pt x="2793757" y="2500"/>
                <a:pt x="3016449" y="0"/>
              </a:cubicBezTo>
              <a:cubicBezTo>
                <a:pt x="3239141" y="-2500"/>
                <a:pt x="3500988" y="26792"/>
                <a:pt x="3686770" y="0"/>
              </a:cubicBezTo>
              <a:cubicBezTo>
                <a:pt x="3872552" y="-26792"/>
                <a:pt x="4101586" y="-11965"/>
                <a:pt x="4223028" y="0"/>
              </a:cubicBezTo>
              <a:cubicBezTo>
                <a:pt x="4344470" y="11965"/>
                <a:pt x="4781180" y="21928"/>
                <a:pt x="5027414" y="0"/>
              </a:cubicBezTo>
              <a:cubicBezTo>
                <a:pt x="5273648" y="-21928"/>
                <a:pt x="5407667" y="25163"/>
                <a:pt x="5764768" y="0"/>
              </a:cubicBezTo>
              <a:cubicBezTo>
                <a:pt x="6121869" y="-25163"/>
                <a:pt x="6328803" y="-24124"/>
                <a:pt x="6703219" y="0"/>
              </a:cubicBezTo>
              <a:cubicBezTo>
                <a:pt x="6682497" y="237794"/>
                <a:pt x="6707559" y="411873"/>
                <a:pt x="6703219" y="522365"/>
              </a:cubicBezTo>
              <a:cubicBezTo>
                <a:pt x="6698879" y="632858"/>
                <a:pt x="6716398" y="870481"/>
                <a:pt x="6703219" y="997718"/>
              </a:cubicBezTo>
              <a:cubicBezTo>
                <a:pt x="6690040" y="1124955"/>
                <a:pt x="6724751" y="1376421"/>
                <a:pt x="6703219" y="1567096"/>
              </a:cubicBezTo>
              <a:cubicBezTo>
                <a:pt x="6464981" y="1552359"/>
                <a:pt x="6325901" y="1553640"/>
                <a:pt x="6099929" y="1567096"/>
              </a:cubicBezTo>
              <a:cubicBezTo>
                <a:pt x="5873957" y="1580553"/>
                <a:pt x="5654692" y="1584029"/>
                <a:pt x="5496640" y="1567096"/>
              </a:cubicBezTo>
              <a:cubicBezTo>
                <a:pt x="5338588" y="1550163"/>
                <a:pt x="5101643" y="1544561"/>
                <a:pt x="4893350" y="1567096"/>
              </a:cubicBezTo>
              <a:cubicBezTo>
                <a:pt x="4685057" y="1589632"/>
                <a:pt x="4431035" y="1589818"/>
                <a:pt x="4223028" y="1567096"/>
              </a:cubicBezTo>
              <a:cubicBezTo>
                <a:pt x="4015021" y="1544374"/>
                <a:pt x="3888975" y="1584408"/>
                <a:pt x="3686770" y="1567096"/>
              </a:cubicBezTo>
              <a:cubicBezTo>
                <a:pt x="3484565" y="1549784"/>
                <a:pt x="3373012" y="1590439"/>
                <a:pt x="3217545" y="1567096"/>
              </a:cubicBezTo>
              <a:cubicBezTo>
                <a:pt x="3062078" y="1543753"/>
                <a:pt x="2811009" y="1568870"/>
                <a:pt x="2681288" y="1567096"/>
              </a:cubicBezTo>
              <a:cubicBezTo>
                <a:pt x="2551567" y="1565322"/>
                <a:pt x="2244647" y="1543145"/>
                <a:pt x="2077998" y="1567096"/>
              </a:cubicBezTo>
              <a:cubicBezTo>
                <a:pt x="1911349" y="1591048"/>
                <a:pt x="1774324" y="1588996"/>
                <a:pt x="1474708" y="1567096"/>
              </a:cubicBezTo>
              <a:cubicBezTo>
                <a:pt x="1175092" y="1545197"/>
                <a:pt x="1121978" y="1577282"/>
                <a:pt x="1005483" y="1567096"/>
              </a:cubicBezTo>
              <a:cubicBezTo>
                <a:pt x="888989" y="1556910"/>
                <a:pt x="376883" y="1549802"/>
                <a:pt x="0" y="1567096"/>
              </a:cubicBezTo>
              <a:cubicBezTo>
                <a:pt x="-14526" y="1365147"/>
                <a:pt x="25134" y="1157390"/>
                <a:pt x="0" y="1013389"/>
              </a:cubicBezTo>
              <a:cubicBezTo>
                <a:pt x="-25134" y="869388"/>
                <a:pt x="7487" y="727469"/>
                <a:pt x="0" y="538036"/>
              </a:cubicBezTo>
              <a:cubicBezTo>
                <a:pt x="-7487" y="348603"/>
                <a:pt x="-11542" y="123329"/>
                <a:pt x="0" y="0"/>
              </a:cubicBezTo>
              <a:close/>
            </a:path>
            <a:path w="6703219" h="1567096" stroke="0" extrusionOk="0">
              <a:moveTo>
                <a:pt x="0" y="0"/>
              </a:moveTo>
              <a:cubicBezTo>
                <a:pt x="285043" y="7716"/>
                <a:pt x="430670" y="-31273"/>
                <a:pt x="804386" y="0"/>
              </a:cubicBezTo>
              <a:cubicBezTo>
                <a:pt x="1178102" y="31273"/>
                <a:pt x="1215685" y="26005"/>
                <a:pt x="1608773" y="0"/>
              </a:cubicBezTo>
              <a:cubicBezTo>
                <a:pt x="2001861" y="-26005"/>
                <a:pt x="2082169" y="2526"/>
                <a:pt x="2413159" y="0"/>
              </a:cubicBezTo>
              <a:cubicBezTo>
                <a:pt x="2744149" y="-2526"/>
                <a:pt x="2851755" y="4284"/>
                <a:pt x="3150513" y="0"/>
              </a:cubicBezTo>
              <a:cubicBezTo>
                <a:pt x="3449271" y="-4284"/>
                <a:pt x="3558671" y="3307"/>
                <a:pt x="3753803" y="0"/>
              </a:cubicBezTo>
              <a:cubicBezTo>
                <a:pt x="3948935" y="-3307"/>
                <a:pt x="4305722" y="38412"/>
                <a:pt x="4558189" y="0"/>
              </a:cubicBezTo>
              <a:cubicBezTo>
                <a:pt x="4810656" y="-38412"/>
                <a:pt x="4908817" y="-16512"/>
                <a:pt x="5161479" y="0"/>
              </a:cubicBezTo>
              <a:cubicBezTo>
                <a:pt x="5414141" y="16512"/>
                <a:pt x="5535414" y="12298"/>
                <a:pt x="5764768" y="0"/>
              </a:cubicBezTo>
              <a:cubicBezTo>
                <a:pt x="5994122" y="-12298"/>
                <a:pt x="6256237" y="-25166"/>
                <a:pt x="6703219" y="0"/>
              </a:cubicBezTo>
              <a:cubicBezTo>
                <a:pt x="6722067" y="201850"/>
                <a:pt x="6703992" y="387620"/>
                <a:pt x="6703219" y="506694"/>
              </a:cubicBezTo>
              <a:cubicBezTo>
                <a:pt x="6702446" y="625768"/>
                <a:pt x="6695993" y="762793"/>
                <a:pt x="6703219" y="997718"/>
              </a:cubicBezTo>
              <a:cubicBezTo>
                <a:pt x="6710445" y="1232643"/>
                <a:pt x="6717107" y="1287995"/>
                <a:pt x="6703219" y="1567096"/>
              </a:cubicBezTo>
              <a:cubicBezTo>
                <a:pt x="6473968" y="1588106"/>
                <a:pt x="6346093" y="1559552"/>
                <a:pt x="6032897" y="1567096"/>
              </a:cubicBezTo>
              <a:cubicBezTo>
                <a:pt x="5719701" y="1574640"/>
                <a:pt x="5737750" y="1558502"/>
                <a:pt x="5563672" y="1567096"/>
              </a:cubicBezTo>
              <a:cubicBezTo>
                <a:pt x="5389595" y="1575690"/>
                <a:pt x="5027077" y="1581525"/>
                <a:pt x="4826318" y="1567096"/>
              </a:cubicBezTo>
              <a:cubicBezTo>
                <a:pt x="4625559" y="1552667"/>
                <a:pt x="4536927" y="1579109"/>
                <a:pt x="4290060" y="1567096"/>
              </a:cubicBezTo>
              <a:cubicBezTo>
                <a:pt x="4043193" y="1555083"/>
                <a:pt x="3969802" y="1583531"/>
                <a:pt x="3686770" y="1567096"/>
              </a:cubicBezTo>
              <a:cubicBezTo>
                <a:pt x="3403738" y="1550662"/>
                <a:pt x="3202077" y="1535775"/>
                <a:pt x="2949416" y="1567096"/>
              </a:cubicBezTo>
              <a:cubicBezTo>
                <a:pt x="2696755" y="1598417"/>
                <a:pt x="2570282" y="1535897"/>
                <a:pt x="2279094" y="1567096"/>
              </a:cubicBezTo>
              <a:cubicBezTo>
                <a:pt x="1987906" y="1598295"/>
                <a:pt x="2006847" y="1586065"/>
                <a:pt x="1742837" y="1567096"/>
              </a:cubicBezTo>
              <a:cubicBezTo>
                <a:pt x="1478827" y="1548127"/>
                <a:pt x="1204925" y="1575375"/>
                <a:pt x="1005483" y="1567096"/>
              </a:cubicBezTo>
              <a:cubicBezTo>
                <a:pt x="806041" y="1558817"/>
                <a:pt x="299857" y="1607304"/>
                <a:pt x="0" y="1567096"/>
              </a:cubicBezTo>
              <a:cubicBezTo>
                <a:pt x="-22871" y="1337509"/>
                <a:pt x="-18998" y="1127923"/>
                <a:pt x="0" y="1013389"/>
              </a:cubicBezTo>
              <a:cubicBezTo>
                <a:pt x="18998" y="898855"/>
                <a:pt x="-8553" y="668978"/>
                <a:pt x="0" y="506694"/>
              </a:cubicBezTo>
              <a:cubicBezTo>
                <a:pt x="8553" y="344411"/>
                <a:pt x="12691" y="137212"/>
                <a:pt x="0" y="0"/>
              </a:cubicBezTo>
              <a:close/>
            </a:path>
          </a:pathLst>
        </a:custGeom>
        <a:ln w="38100">
          <a:extLst>
            <a:ext uri="{C807C97D-BFC1-408E-A445-0C87EB9F89A2}">
              <ask:lineSketchStyleProps xmlns:ask="http://schemas.microsoft.com/office/drawing/2018/sketchyshapes" sd="3170946798">
                <a:prstGeom prst="rect">
                  <a:avLst/>
                </a:prstGeom>
                <ask:type>
                  <ask:lineSketchFreehand/>
                </ask:type>
              </ask:lineSketchStyleProps>
            </a:ext>
          </a:extLst>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spAutoFit/>
        </a:bodyPr>
        <a:lstStyle/>
        <a:p>
          <a:pPr algn="ctr"/>
          <a:fld id="{DBD18199-E95B-420D-A3E1-E2949B45F8EF}" type="TxLink">
            <a:rPr lang="en-US" sz="2000" b="0" i="0" u="none" strike="noStrike">
              <a:solidFill>
                <a:srgbClr val="000000"/>
              </a:solidFill>
              <a:latin typeface="Albany AMT" panose="020B0604020202020204" pitchFamily="34" charset="0"/>
              <a:cs typeface="Albany AMT" panose="020B0604020202020204" pitchFamily="34" charset="0"/>
            </a:rPr>
            <a:pPr algn="ctr"/>
            <a:t>Nous avons le regret de vous annoncer que vous n'avez pas validé votre année. Nous vous encourageons à revoir vos résultats et à persévérer dans vos efforts. Vous avez la possibilité de vous améliorer et de tenter à nouveau. Bon courage pour la suite.</a:t>
          </a:fld>
          <a:endParaRPr lang="fr-FR" sz="2000">
            <a:latin typeface="Albany AMT" panose="020B0604020202020204" pitchFamily="34" charset="0"/>
            <a:cs typeface="Albany AMT" panose="020B0604020202020204" pitchFamily="34" charset="0"/>
          </a:endParaRPr>
        </a:p>
      </xdr:txBody>
    </xdr:sp>
    <xdr:clientData/>
  </xdr:oneCellAnchor>
  <xdr:twoCellAnchor editAs="oneCell">
    <xdr:from>
      <xdr:col>2</xdr:col>
      <xdr:colOff>702468</xdr:colOff>
      <xdr:row>79</xdr:row>
      <xdr:rowOff>74891</xdr:rowOff>
    </xdr:from>
    <xdr:to>
      <xdr:col>4</xdr:col>
      <xdr:colOff>537627</xdr:colOff>
      <xdr:row>86</xdr:row>
      <xdr:rowOff>179253</xdr:rowOff>
    </xdr:to>
    <xdr:pic>
      <xdr:nvPicPr>
        <xdr:cNvPr id="9" name="Imag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38937" y="16624579"/>
          <a:ext cx="1478221" cy="1437862"/>
        </a:xfrm>
        <a:prstGeom prst="rect">
          <a:avLst/>
        </a:prstGeom>
      </xdr:spPr>
    </xdr:pic>
    <xdr:clientData/>
  </xdr:twoCellAnchor>
  <xdr:twoCellAnchor editAs="oneCell">
    <xdr:from>
      <xdr:col>0</xdr:col>
      <xdr:colOff>59533</xdr:colOff>
      <xdr:row>59</xdr:row>
      <xdr:rowOff>107156</xdr:rowOff>
    </xdr:from>
    <xdr:to>
      <xdr:col>1</xdr:col>
      <xdr:colOff>1238250</xdr:colOff>
      <xdr:row>67</xdr:row>
      <xdr:rowOff>22049</xdr:rowOff>
    </xdr:to>
    <xdr:pic>
      <xdr:nvPicPr>
        <xdr:cNvPr id="10" name="Imag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9533" y="12846844"/>
          <a:ext cx="2345530" cy="143889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114300</xdr:colOff>
          <xdr:row>15</xdr:row>
          <xdr:rowOff>12700</xdr:rowOff>
        </xdr:from>
        <xdr:to>
          <xdr:col>14</xdr:col>
          <xdr:colOff>520700</xdr:colOff>
          <xdr:row>19</xdr:row>
          <xdr:rowOff>101600</xdr:rowOff>
        </xdr:to>
        <xdr:sp macro="" textlink="">
          <xdr:nvSpPr>
            <xdr:cNvPr id="2049" name="ajouter_note" hidden="1">
              <a:extLst>
                <a:ext uri="{63B3BB69-23CF-44E3-9099-C40C66FF867C}">
                  <a14:compatExt spid="_x0000_s2049"/>
                </a:ext>
                <a:ext uri="{FF2B5EF4-FFF2-40B4-BE49-F238E27FC236}">
                  <a16:creationId xmlns:a16="http://schemas.microsoft.com/office/drawing/2014/main" id="{00000000-0008-0000-0B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20</xdr:row>
          <xdr:rowOff>127000</xdr:rowOff>
        </xdr:from>
        <xdr:to>
          <xdr:col>14</xdr:col>
          <xdr:colOff>520700</xdr:colOff>
          <xdr:row>26</xdr:row>
          <xdr:rowOff>12700</xdr:rowOff>
        </xdr:to>
        <xdr:sp macro="" textlink="">
          <xdr:nvSpPr>
            <xdr:cNvPr id="2052" name="Modife_note" hidden="1">
              <a:extLst>
                <a:ext uri="{63B3BB69-23CF-44E3-9099-C40C66FF867C}">
                  <a14:compatExt spid="_x0000_s2052"/>
                </a:ext>
                <a:ext uri="{FF2B5EF4-FFF2-40B4-BE49-F238E27FC236}">
                  <a16:creationId xmlns:a16="http://schemas.microsoft.com/office/drawing/2014/main" id="{00000000-0008-0000-0B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27</xdr:row>
          <xdr:rowOff>177800</xdr:rowOff>
        </xdr:from>
        <xdr:to>
          <xdr:col>14</xdr:col>
          <xdr:colOff>508000</xdr:colOff>
          <xdr:row>33</xdr:row>
          <xdr:rowOff>63500</xdr:rowOff>
        </xdr:to>
        <xdr:sp macro="" textlink="">
          <xdr:nvSpPr>
            <xdr:cNvPr id="2053" name="Deconexion" hidden="1">
              <a:extLst>
                <a:ext uri="{63B3BB69-23CF-44E3-9099-C40C66FF867C}">
                  <a14:compatExt spid="_x0000_s2053"/>
                </a:ext>
                <a:ext uri="{FF2B5EF4-FFF2-40B4-BE49-F238E27FC236}">
                  <a16:creationId xmlns:a16="http://schemas.microsoft.com/office/drawing/2014/main" id="{00000000-0008-0000-0B00-000005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749300</xdr:colOff>
          <xdr:row>4</xdr:row>
          <xdr:rowOff>114300</xdr:rowOff>
        </xdr:from>
        <xdr:to>
          <xdr:col>15</xdr:col>
          <xdr:colOff>520700</xdr:colOff>
          <xdr:row>13</xdr:row>
          <xdr:rowOff>177800</xdr:rowOff>
        </xdr:to>
        <xdr:sp macro="" textlink="">
          <xdr:nvSpPr>
            <xdr:cNvPr id="2054" name="Label1" hidden="1">
              <a:extLst>
                <a:ext uri="{63B3BB69-23CF-44E3-9099-C40C66FF867C}">
                  <a14:compatExt spid="_x0000_s2054"/>
                </a:ext>
                <a:ext uri="{FF2B5EF4-FFF2-40B4-BE49-F238E27FC236}">
                  <a16:creationId xmlns:a16="http://schemas.microsoft.com/office/drawing/2014/main" id="{00000000-0008-0000-0B00-000006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twoCellAnchor editAs="oneCell">
    <xdr:from>
      <xdr:col>20</xdr:col>
      <xdr:colOff>560294</xdr:colOff>
      <xdr:row>33</xdr:row>
      <xdr:rowOff>92343</xdr:rowOff>
    </xdr:from>
    <xdr:to>
      <xdr:col>22</xdr:col>
      <xdr:colOff>512331</xdr:colOff>
      <xdr:row>41</xdr:row>
      <xdr:rowOff>4081</xdr:rowOff>
    </xdr:to>
    <xdr:pic>
      <xdr:nvPicPr>
        <xdr:cNvPr id="6" name="Image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800294" y="6378843"/>
          <a:ext cx="1476037" cy="1435738"/>
        </a:xfrm>
        <a:prstGeom prst="rect">
          <a:avLst/>
        </a:prstGeom>
      </xdr:spPr>
    </xdr:pic>
    <xdr:clientData/>
  </xdr:twoCellAnchor>
  <xdr:twoCellAnchor editAs="oneCell">
    <xdr:from>
      <xdr:col>0</xdr:col>
      <xdr:colOff>425823</xdr:colOff>
      <xdr:row>2</xdr:row>
      <xdr:rowOff>156882</xdr:rowOff>
    </xdr:from>
    <xdr:to>
      <xdr:col>4</xdr:col>
      <xdr:colOff>549334</xdr:colOff>
      <xdr:row>13</xdr:row>
      <xdr:rowOff>6982</xdr:rowOff>
    </xdr:to>
    <xdr:pic>
      <xdr:nvPicPr>
        <xdr:cNvPr id="7" name="Image 6">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25823" y="537882"/>
          <a:ext cx="3171511" cy="1945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292100</xdr:colOff>
          <xdr:row>11</xdr:row>
          <xdr:rowOff>76200</xdr:rowOff>
        </xdr:from>
        <xdr:to>
          <xdr:col>13</xdr:col>
          <xdr:colOff>660400</xdr:colOff>
          <xdr:row>16</xdr:row>
          <xdr:rowOff>165100</xdr:rowOff>
        </xdr:to>
        <xdr:sp macro="" textlink="">
          <xdr:nvSpPr>
            <xdr:cNvPr id="13313" name="Connexion"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292100</xdr:colOff>
          <xdr:row>18</xdr:row>
          <xdr:rowOff>63500</xdr:rowOff>
        </xdr:from>
        <xdr:to>
          <xdr:col>13</xdr:col>
          <xdr:colOff>660400</xdr:colOff>
          <xdr:row>23</xdr:row>
          <xdr:rowOff>177800</xdr:rowOff>
        </xdr:to>
        <xdr:sp macro="" textlink="">
          <xdr:nvSpPr>
            <xdr:cNvPr id="13314" name="Inscription"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685800</xdr:colOff>
          <xdr:row>30</xdr:row>
          <xdr:rowOff>101600</xdr:rowOff>
        </xdr:from>
        <xdr:to>
          <xdr:col>13</xdr:col>
          <xdr:colOff>165100</xdr:colOff>
          <xdr:row>34</xdr:row>
          <xdr:rowOff>177800</xdr:rowOff>
        </xdr:to>
        <xdr:sp macro="" textlink="">
          <xdr:nvSpPr>
            <xdr:cNvPr id="13315" name="Affiche_Feuille" hidden="1">
              <a:extLst>
                <a:ext uri="{63B3BB69-23CF-44E3-9099-C40C66FF867C}">
                  <a14:compatExt spid="_x0000_s13315"/>
                </a:ext>
                <a:ext uri="{FF2B5EF4-FFF2-40B4-BE49-F238E27FC236}">
                  <a16:creationId xmlns:a16="http://schemas.microsoft.com/office/drawing/2014/main" id="{00000000-0008-0000-0C00-0000033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609600</xdr:colOff>
          <xdr:row>2</xdr:row>
          <xdr:rowOff>177800</xdr:rowOff>
        </xdr:from>
        <xdr:to>
          <xdr:col>15</xdr:col>
          <xdr:colOff>127000</xdr:colOff>
          <xdr:row>7</xdr:row>
          <xdr:rowOff>101600</xdr:rowOff>
        </xdr:to>
        <xdr:sp macro="" textlink="">
          <xdr:nvSpPr>
            <xdr:cNvPr id="13318" name="Label1" hidden="1">
              <a:extLst>
                <a:ext uri="{63B3BB69-23CF-44E3-9099-C40C66FF867C}">
                  <a14:compatExt spid="_x0000_s13318"/>
                </a:ext>
                <a:ext uri="{FF2B5EF4-FFF2-40B4-BE49-F238E27FC236}">
                  <a16:creationId xmlns:a16="http://schemas.microsoft.com/office/drawing/2014/main" id="{00000000-0008-0000-0C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18</xdr:col>
      <xdr:colOff>167475</xdr:colOff>
      <xdr:row>28</xdr:row>
      <xdr:rowOff>20934</xdr:rowOff>
    </xdr:from>
    <xdr:to>
      <xdr:col>20</xdr:col>
      <xdr:colOff>427071</xdr:colOff>
      <xdr:row>37</xdr:row>
      <xdr:rowOff>64247</xdr:rowOff>
    </xdr:to>
    <xdr:pic>
      <xdr:nvPicPr>
        <xdr:cNvPr id="6" name="Image 5">
          <a:extLst>
            <a:ext uri="{FF2B5EF4-FFF2-40B4-BE49-F238E27FC236}">
              <a16:creationId xmlns:a16="http://schemas.microsoft.com/office/drawing/2014/main" id="{00000000-0008-0000-0C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21156" y="5296319"/>
          <a:ext cx="1787783" cy="1738972"/>
        </a:xfrm>
        <a:prstGeom prst="rect">
          <a:avLst/>
        </a:prstGeom>
      </xdr:spPr>
    </xdr:pic>
    <xdr:clientData/>
  </xdr:twoCellAnchor>
  <xdr:twoCellAnchor editAs="oneCell">
    <xdr:from>
      <xdr:col>0</xdr:col>
      <xdr:colOff>219808</xdr:colOff>
      <xdr:row>1</xdr:row>
      <xdr:rowOff>20935</xdr:rowOff>
    </xdr:from>
    <xdr:to>
      <xdr:col>4</xdr:col>
      <xdr:colOff>29889</xdr:colOff>
      <xdr:row>10</xdr:row>
      <xdr:rowOff>83736</xdr:rowOff>
    </xdr:to>
    <xdr:pic>
      <xdr:nvPicPr>
        <xdr:cNvPr id="8" name="Image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9808" y="209342"/>
          <a:ext cx="2866455" cy="1758460"/>
        </a:xfrm>
        <a:prstGeom prst="rect">
          <a:avLst/>
        </a:prstGeom>
      </xdr:spPr>
    </xdr:pic>
    <xdr:clientData/>
  </xdr:twoCellAnchor>
</xdr:wsDr>
</file>

<file path=xl/theme/theme1.xml><?xml version="1.0" encoding="utf-8"?>
<a:theme xmlns:a="http://schemas.openxmlformats.org/drawingml/2006/main" name="Office Theme">
  <a:themeElements>
    <a:clrScheme name="Bleu vert">
      <a:dk1>
        <a:sysClr val="windowText" lastClr="000000"/>
      </a:dk1>
      <a:lt1>
        <a:sysClr val="window" lastClr="FFFFFF"/>
      </a:lt1>
      <a:dk2>
        <a:srgbClr val="373545"/>
      </a:dk2>
      <a:lt2>
        <a:srgbClr val="CEDBE6"/>
      </a:lt2>
      <a:accent1>
        <a:srgbClr val="3494BA"/>
      </a:accent1>
      <a:accent2>
        <a:srgbClr val="58B6C0"/>
      </a:accent2>
      <a:accent3>
        <a:srgbClr val="75BDA7"/>
      </a:accent3>
      <a:accent4>
        <a:srgbClr val="7A8C8E"/>
      </a:accent4>
      <a:accent5>
        <a:srgbClr val="84ACB6"/>
      </a:accent5>
      <a:accent6>
        <a:srgbClr val="2683C6"/>
      </a:accent6>
      <a:hlink>
        <a:srgbClr val="6B9F25"/>
      </a:hlink>
      <a:folHlink>
        <a:srgbClr val="9F6715"/>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83132-89D1-4E27-BF3F-DE999D5947BA}">
  <sheetPr codeName="Feuil4"/>
  <dimension ref="A1:E13"/>
  <sheetViews>
    <sheetView workbookViewId="0">
      <selection activeCell="D1" sqref="D1"/>
    </sheetView>
  </sheetViews>
  <sheetFormatPr baseColWidth="10" defaultColWidth="11.5" defaultRowHeight="15" x14ac:dyDescent="0.2"/>
  <cols>
    <col min="1" max="1" width="11.5" style="134"/>
    <col min="2" max="2" width="17.6640625" style="4" customWidth="1"/>
    <col min="3" max="3" width="21.5" style="4" customWidth="1"/>
    <col min="4" max="4" width="11.5" style="131"/>
    <col min="5" max="5" width="30.1640625" style="4" customWidth="1"/>
  </cols>
  <sheetData>
    <row r="1" spans="1:5" ht="16" x14ac:dyDescent="0.2">
      <c r="A1" s="135" t="s">
        <v>0</v>
      </c>
      <c r="B1" s="1" t="s">
        <v>1</v>
      </c>
      <c r="C1" s="1" t="s">
        <v>2</v>
      </c>
      <c r="D1" s="132" t="s">
        <v>3</v>
      </c>
      <c r="E1" s="1" t="s">
        <v>4</v>
      </c>
    </row>
    <row r="2" spans="1:5" x14ac:dyDescent="0.2">
      <c r="A2" s="133" t="s">
        <v>5</v>
      </c>
      <c r="B2" s="3" t="s">
        <v>6</v>
      </c>
      <c r="C2" s="3" t="s">
        <v>7</v>
      </c>
      <c r="D2" s="131" t="s">
        <v>8</v>
      </c>
      <c r="E2" s="4" t="str">
        <f t="shared" ref="E2:E12" si="0">UPPER(B2) &amp; " " &amp; C2</f>
        <v>DUBOIS JEAN</v>
      </c>
    </row>
    <row r="3" spans="1:5" x14ac:dyDescent="0.2">
      <c r="A3" s="133" t="s">
        <v>9</v>
      </c>
      <c r="B3" s="3" t="s">
        <v>6</v>
      </c>
      <c r="C3" s="3" t="s">
        <v>10</v>
      </c>
      <c r="D3" s="131" t="s">
        <v>8</v>
      </c>
      <c r="E3" s="4" t="str">
        <f t="shared" si="0"/>
        <v>DUBOIS MARIE</v>
      </c>
    </row>
    <row r="4" spans="1:5" x14ac:dyDescent="0.2">
      <c r="A4" s="133" t="s">
        <v>11</v>
      </c>
      <c r="B4" s="3" t="s">
        <v>12</v>
      </c>
      <c r="C4" s="3" t="s">
        <v>13</v>
      </c>
      <c r="D4" s="131" t="s">
        <v>8</v>
      </c>
      <c r="E4" s="4" t="str">
        <f t="shared" si="0"/>
        <v>LEFEVRE PIERRE</v>
      </c>
    </row>
    <row r="5" spans="1:5" x14ac:dyDescent="0.2">
      <c r="A5" s="133" t="s">
        <v>14</v>
      </c>
      <c r="B5" s="3" t="s">
        <v>12</v>
      </c>
      <c r="C5" s="3" t="s">
        <v>15</v>
      </c>
      <c r="D5" s="131" t="s">
        <v>8</v>
      </c>
      <c r="E5" s="4" t="str">
        <f t="shared" si="0"/>
        <v>LEFEVRE SOPHIE</v>
      </c>
    </row>
    <row r="6" spans="1:5" x14ac:dyDescent="0.2">
      <c r="A6" s="133" t="s">
        <v>16</v>
      </c>
      <c r="B6" s="3" t="s">
        <v>17</v>
      </c>
      <c r="C6" s="3" t="s">
        <v>18</v>
      </c>
      <c r="D6" s="131" t="s">
        <v>8</v>
      </c>
      <c r="E6" s="4" t="str">
        <f t="shared" si="0"/>
        <v>MARTIN LUC</v>
      </c>
    </row>
    <row r="7" spans="1:5" x14ac:dyDescent="0.2">
      <c r="A7" s="133" t="s">
        <v>19</v>
      </c>
      <c r="B7" s="3" t="s">
        <v>17</v>
      </c>
      <c r="C7" s="3" t="s">
        <v>20</v>
      </c>
      <c r="D7" s="131" t="s">
        <v>8</v>
      </c>
      <c r="E7" s="4" t="str">
        <f t="shared" si="0"/>
        <v>MARTIN CLAIRE</v>
      </c>
    </row>
    <row r="8" spans="1:5" x14ac:dyDescent="0.2">
      <c r="A8" s="133" t="s">
        <v>21</v>
      </c>
      <c r="B8" s="3" t="s">
        <v>22</v>
      </c>
      <c r="C8" s="3" t="s">
        <v>23</v>
      </c>
      <c r="D8" s="131" t="s">
        <v>8</v>
      </c>
      <c r="E8" s="4" t="str">
        <f t="shared" si="0"/>
        <v>DURAND HENRI</v>
      </c>
    </row>
    <row r="9" spans="1:5" x14ac:dyDescent="0.2">
      <c r="A9" s="133" t="s">
        <v>24</v>
      </c>
      <c r="B9" s="3" t="s">
        <v>22</v>
      </c>
      <c r="C9" s="3" t="s">
        <v>25</v>
      </c>
      <c r="D9" s="131" t="s">
        <v>8</v>
      </c>
      <c r="E9" s="4" t="str">
        <f t="shared" si="0"/>
        <v>DURAND ALICE</v>
      </c>
    </row>
    <row r="10" spans="1:5" x14ac:dyDescent="0.2">
      <c r="A10" s="133" t="s">
        <v>26</v>
      </c>
      <c r="B10" s="3" t="s">
        <v>27</v>
      </c>
      <c r="C10" s="3" t="s">
        <v>28</v>
      </c>
      <c r="D10" s="131" t="s">
        <v>8</v>
      </c>
      <c r="E10" s="4" t="str">
        <f t="shared" si="0"/>
        <v>BERNARD MICHEL</v>
      </c>
    </row>
    <row r="11" spans="1:5" x14ac:dyDescent="0.2">
      <c r="A11" s="133" t="s">
        <v>29</v>
      </c>
      <c r="B11" s="3" t="s">
        <v>27</v>
      </c>
      <c r="C11" s="3" t="s">
        <v>30</v>
      </c>
      <c r="D11" s="131" t="s">
        <v>8</v>
      </c>
      <c r="E11" s="4" t="str">
        <f t="shared" si="0"/>
        <v>BERNARD ISABELLE</v>
      </c>
    </row>
    <row r="12" spans="1:5" x14ac:dyDescent="0.2">
      <c r="A12" s="134" t="s">
        <v>31</v>
      </c>
      <c r="B12" s="3" t="s">
        <v>32</v>
      </c>
      <c r="C12" s="3" t="s">
        <v>33</v>
      </c>
      <c r="D12" s="131" t="s">
        <v>8</v>
      </c>
      <c r="E12" s="4" t="str">
        <f t="shared" si="0"/>
        <v>CHIROL QUENTIN</v>
      </c>
    </row>
    <row r="13" spans="1:5" x14ac:dyDescent="0.2">
      <c r="A13" s="134" t="s">
        <v>34</v>
      </c>
      <c r="B13" s="4" t="s">
        <v>35</v>
      </c>
      <c r="C13" s="4" t="s">
        <v>36</v>
      </c>
      <c r="D13" s="131" t="s">
        <v>8</v>
      </c>
      <c r="E13" s="4" t="s">
        <v>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C59BE-BEB7-4806-92EA-C461A5962D80}">
  <sheetPr codeName="Feuil9"/>
  <dimension ref="A1:L157"/>
  <sheetViews>
    <sheetView workbookViewId="0">
      <selection activeCell="G157" sqref="A157:G157"/>
    </sheetView>
  </sheetViews>
  <sheetFormatPr baseColWidth="10" defaultColWidth="11.5" defaultRowHeight="15" x14ac:dyDescent="0.2"/>
  <cols>
    <col min="1" max="2" width="11.5" style="4"/>
    <col min="3" max="3" width="64.5" style="4" customWidth="1"/>
    <col min="4" max="5" width="11.5" style="4"/>
    <col min="6" max="6" width="25.5" style="130" bestFit="1" customWidth="1"/>
    <col min="7" max="7" width="11.5" style="4"/>
  </cols>
  <sheetData>
    <row r="1" spans="1:12" ht="33" customHeight="1" x14ac:dyDescent="0.2">
      <c r="A1" s="122" t="s">
        <v>38</v>
      </c>
      <c r="B1" s="122" t="s">
        <v>39</v>
      </c>
      <c r="C1" s="122" t="s">
        <v>40</v>
      </c>
      <c r="D1" s="122" t="s">
        <v>41</v>
      </c>
      <c r="E1" s="122" t="s">
        <v>42</v>
      </c>
      <c r="F1" s="129" t="s">
        <v>43</v>
      </c>
      <c r="G1" s="122" t="s">
        <v>44</v>
      </c>
    </row>
    <row r="2" spans="1:12" ht="16" x14ac:dyDescent="0.2">
      <c r="A2" s="123" t="s">
        <v>5</v>
      </c>
      <c r="B2" s="124" t="s">
        <v>45</v>
      </c>
      <c r="C2" s="124" t="s">
        <v>46</v>
      </c>
      <c r="D2" s="3">
        <v>11.5</v>
      </c>
      <c r="E2" s="4">
        <v>1</v>
      </c>
      <c r="F2" s="139">
        <v>45644.473055555558</v>
      </c>
      <c r="G2" s="4">
        <f>D2*E2</f>
        <v>11.5</v>
      </c>
    </row>
    <row r="3" spans="1:12" ht="16" x14ac:dyDescent="0.2">
      <c r="A3" s="123" t="s">
        <v>9</v>
      </c>
      <c r="B3" s="124" t="s">
        <v>45</v>
      </c>
      <c r="C3" s="124" t="s">
        <v>46</v>
      </c>
      <c r="D3" s="3">
        <v>13</v>
      </c>
      <c r="E3" s="4">
        <v>2</v>
      </c>
      <c r="F3" s="139">
        <v>45645.608159722222</v>
      </c>
      <c r="G3" s="4">
        <f t="shared" ref="G3:G66" si="0">D3*E3</f>
        <v>26</v>
      </c>
    </row>
    <row r="4" spans="1:12" ht="16" x14ac:dyDescent="0.2">
      <c r="A4" s="123" t="s">
        <v>11</v>
      </c>
      <c r="B4" s="124" t="s">
        <v>45</v>
      </c>
      <c r="C4" s="124" t="s">
        <v>46</v>
      </c>
      <c r="D4" s="3">
        <v>17.5</v>
      </c>
      <c r="E4" s="4">
        <v>3</v>
      </c>
      <c r="F4" s="139">
        <v>45646.406597222223</v>
      </c>
      <c r="G4" s="4">
        <f t="shared" si="0"/>
        <v>52.5</v>
      </c>
    </row>
    <row r="5" spans="1:12" ht="16" x14ac:dyDescent="0.2">
      <c r="A5" s="123" t="s">
        <v>14</v>
      </c>
      <c r="B5" s="124" t="s">
        <v>45</v>
      </c>
      <c r="C5" s="124" t="s">
        <v>46</v>
      </c>
      <c r="D5" s="3">
        <v>10.5</v>
      </c>
      <c r="E5" s="4">
        <v>4</v>
      </c>
      <c r="F5" s="139">
        <v>45647.557060185187</v>
      </c>
      <c r="G5" s="4">
        <f t="shared" si="0"/>
        <v>42</v>
      </c>
    </row>
    <row r="6" spans="1:12" ht="16" x14ac:dyDescent="0.2">
      <c r="A6" s="123" t="s">
        <v>16</v>
      </c>
      <c r="B6" s="124" t="s">
        <v>45</v>
      </c>
      <c r="C6" s="124" t="s">
        <v>46</v>
      </c>
      <c r="D6" s="3">
        <v>16</v>
      </c>
      <c r="E6" s="4">
        <v>5</v>
      </c>
      <c r="F6" s="139">
        <v>45648.749305555553</v>
      </c>
      <c r="G6" s="4">
        <f t="shared" si="0"/>
        <v>80</v>
      </c>
    </row>
    <row r="7" spans="1:12" ht="16" x14ac:dyDescent="0.2">
      <c r="A7" s="123" t="s">
        <v>19</v>
      </c>
      <c r="B7" s="124" t="s">
        <v>45</v>
      </c>
      <c r="C7" s="124" t="s">
        <v>46</v>
      </c>
      <c r="D7" s="3">
        <v>13.5</v>
      </c>
      <c r="E7" s="4">
        <v>6</v>
      </c>
      <c r="F7" s="139">
        <v>45649.427488425928</v>
      </c>
      <c r="G7" s="4">
        <f t="shared" si="0"/>
        <v>81</v>
      </c>
    </row>
    <row r="8" spans="1:12" ht="16" x14ac:dyDescent="0.2">
      <c r="A8" s="123" t="s">
        <v>21</v>
      </c>
      <c r="B8" s="124" t="s">
        <v>45</v>
      </c>
      <c r="C8" s="124" t="s">
        <v>46</v>
      </c>
      <c r="D8" s="3">
        <v>10.5</v>
      </c>
      <c r="E8" s="4">
        <v>7</v>
      </c>
      <c r="F8" s="139">
        <v>45650.361689814818</v>
      </c>
      <c r="G8" s="4">
        <f t="shared" si="0"/>
        <v>73.5</v>
      </c>
    </row>
    <row r="9" spans="1:12" ht="16" x14ac:dyDescent="0.2">
      <c r="A9" s="123" t="s">
        <v>24</v>
      </c>
      <c r="B9" s="124" t="s">
        <v>45</v>
      </c>
      <c r="C9" s="124" t="s">
        <v>46</v>
      </c>
      <c r="D9" s="3">
        <v>14.5</v>
      </c>
      <c r="E9" s="4">
        <v>8</v>
      </c>
      <c r="F9" s="139">
        <v>45651.670428240737</v>
      </c>
      <c r="G9" s="4">
        <f t="shared" si="0"/>
        <v>116</v>
      </c>
    </row>
    <row r="10" spans="1:12" ht="16" x14ac:dyDescent="0.2">
      <c r="A10" s="123" t="s">
        <v>26</v>
      </c>
      <c r="B10" s="124" t="s">
        <v>45</v>
      </c>
      <c r="C10" s="124" t="s">
        <v>46</v>
      </c>
      <c r="D10" s="3">
        <v>12</v>
      </c>
      <c r="E10" s="4">
        <v>9</v>
      </c>
      <c r="F10" s="139">
        <v>45652.481805555559</v>
      </c>
      <c r="G10" s="4">
        <f t="shared" si="0"/>
        <v>108</v>
      </c>
    </row>
    <row r="11" spans="1:12" ht="16" x14ac:dyDescent="0.2">
      <c r="A11" s="123" t="s">
        <v>29</v>
      </c>
      <c r="B11" s="124" t="s">
        <v>45</v>
      </c>
      <c r="C11" s="124" t="s">
        <v>46</v>
      </c>
      <c r="D11" s="3">
        <v>10</v>
      </c>
      <c r="E11" s="4">
        <v>10</v>
      </c>
      <c r="F11" s="139">
        <v>45653.65797453704</v>
      </c>
      <c r="G11" s="4">
        <f t="shared" si="0"/>
        <v>100</v>
      </c>
    </row>
    <row r="12" spans="1:12" ht="16" x14ac:dyDescent="0.2">
      <c r="A12" s="123" t="s">
        <v>31</v>
      </c>
      <c r="B12" s="124" t="s">
        <v>45</v>
      </c>
      <c r="C12" s="124" t="s">
        <v>46</v>
      </c>
      <c r="D12" s="3">
        <v>13.5</v>
      </c>
      <c r="E12" s="4">
        <v>11</v>
      </c>
      <c r="F12" s="139">
        <v>45654.767523148148</v>
      </c>
      <c r="G12" s="4">
        <f t="shared" si="0"/>
        <v>148.5</v>
      </c>
      <c r="L12" s="136"/>
    </row>
    <row r="13" spans="1:12" ht="16" x14ac:dyDescent="0.2">
      <c r="A13" s="125" t="s">
        <v>5</v>
      </c>
      <c r="B13" s="126" t="s">
        <v>47</v>
      </c>
      <c r="C13" s="124" t="s">
        <v>48</v>
      </c>
      <c r="D13" s="3">
        <v>13</v>
      </c>
      <c r="E13" s="4">
        <v>12</v>
      </c>
      <c r="F13" s="139">
        <v>45655.302037037036</v>
      </c>
      <c r="G13" s="4">
        <f t="shared" si="0"/>
        <v>156</v>
      </c>
      <c r="L13" s="136"/>
    </row>
    <row r="14" spans="1:12" ht="16" x14ac:dyDescent="0.2">
      <c r="A14" s="125" t="s">
        <v>9</v>
      </c>
      <c r="B14" s="126" t="s">
        <v>47</v>
      </c>
      <c r="C14" s="124" t="s">
        <v>48</v>
      </c>
      <c r="D14" s="3">
        <v>14.5</v>
      </c>
      <c r="E14" s="4">
        <v>1</v>
      </c>
      <c r="F14" s="139">
        <v>45656.900254629632</v>
      </c>
      <c r="G14" s="4">
        <f t="shared" si="0"/>
        <v>14.5</v>
      </c>
      <c r="L14" s="136"/>
    </row>
    <row r="15" spans="1:12" ht="16" x14ac:dyDescent="0.2">
      <c r="A15" s="125" t="s">
        <v>11</v>
      </c>
      <c r="B15" s="126" t="s">
        <v>47</v>
      </c>
      <c r="C15" s="124" t="s">
        <v>48</v>
      </c>
      <c r="D15" s="3">
        <v>16</v>
      </c>
      <c r="E15" s="4">
        <v>2</v>
      </c>
      <c r="F15" s="139">
        <v>45657.290775462963</v>
      </c>
      <c r="G15" s="4">
        <f t="shared" si="0"/>
        <v>32</v>
      </c>
      <c r="L15" s="136"/>
    </row>
    <row r="16" spans="1:12" ht="16" x14ac:dyDescent="0.2">
      <c r="A16" s="125" t="s">
        <v>14</v>
      </c>
      <c r="B16" s="126" t="s">
        <v>47</v>
      </c>
      <c r="C16" s="124" t="s">
        <v>48</v>
      </c>
      <c r="D16" s="3">
        <v>14</v>
      </c>
      <c r="E16" s="4">
        <v>3</v>
      </c>
      <c r="F16" s="139">
        <v>45658.545648148145</v>
      </c>
      <c r="G16" s="4">
        <f t="shared" si="0"/>
        <v>42</v>
      </c>
      <c r="L16" s="136"/>
    </row>
    <row r="17" spans="1:12" ht="16" x14ac:dyDescent="0.2">
      <c r="A17" s="125" t="s">
        <v>16</v>
      </c>
      <c r="B17" s="126" t="s">
        <v>47</v>
      </c>
      <c r="C17" s="124" t="s">
        <v>48</v>
      </c>
      <c r="D17" s="3">
        <v>13</v>
      </c>
      <c r="E17" s="4">
        <v>4</v>
      </c>
      <c r="F17" s="139">
        <v>45659.470081018517</v>
      </c>
      <c r="G17" s="4">
        <f t="shared" si="0"/>
        <v>52</v>
      </c>
      <c r="L17" s="136"/>
    </row>
    <row r="18" spans="1:12" ht="16" x14ac:dyDescent="0.2">
      <c r="A18" s="125" t="s">
        <v>19</v>
      </c>
      <c r="B18" s="126" t="s">
        <v>47</v>
      </c>
      <c r="C18" s="124" t="s">
        <v>48</v>
      </c>
      <c r="D18" s="3">
        <v>15.5</v>
      </c>
      <c r="E18" s="4">
        <v>5</v>
      </c>
      <c r="F18" s="139">
        <v>45660.806979166664</v>
      </c>
      <c r="G18" s="4">
        <f t="shared" si="0"/>
        <v>77.5</v>
      </c>
      <c r="K18" s="128"/>
      <c r="L18" s="136"/>
    </row>
    <row r="19" spans="1:12" ht="16" x14ac:dyDescent="0.2">
      <c r="A19" s="125" t="s">
        <v>21</v>
      </c>
      <c r="B19" s="126" t="s">
        <v>47</v>
      </c>
      <c r="C19" s="124" t="s">
        <v>48</v>
      </c>
      <c r="D19" s="3">
        <v>10</v>
      </c>
      <c r="E19" s="4">
        <v>6</v>
      </c>
      <c r="F19" s="139">
        <v>45661.735034722224</v>
      </c>
      <c r="G19" s="4">
        <f t="shared" si="0"/>
        <v>60</v>
      </c>
      <c r="K19" s="128"/>
      <c r="L19" s="136"/>
    </row>
    <row r="20" spans="1:12" ht="16" x14ac:dyDescent="0.2">
      <c r="A20" s="125" t="s">
        <v>24</v>
      </c>
      <c r="B20" s="126" t="s">
        <v>47</v>
      </c>
      <c r="C20" s="124" t="s">
        <v>48</v>
      </c>
      <c r="D20" s="3">
        <v>13.5</v>
      </c>
      <c r="E20" s="4">
        <v>7</v>
      </c>
      <c r="F20" s="139">
        <v>45662.618298611109</v>
      </c>
      <c r="G20" s="4">
        <f t="shared" si="0"/>
        <v>94.5</v>
      </c>
      <c r="K20" s="128"/>
      <c r="L20" s="136"/>
    </row>
    <row r="21" spans="1:12" ht="16" x14ac:dyDescent="0.2">
      <c r="A21" s="125" t="s">
        <v>26</v>
      </c>
      <c r="B21" s="126" t="s">
        <v>47</v>
      </c>
      <c r="C21" s="124" t="s">
        <v>48</v>
      </c>
      <c r="D21" s="3">
        <v>11</v>
      </c>
      <c r="E21" s="4">
        <v>8</v>
      </c>
      <c r="F21" s="139">
        <v>45613.433159722219</v>
      </c>
      <c r="G21" s="4">
        <f t="shared" si="0"/>
        <v>88</v>
      </c>
      <c r="K21" s="128"/>
      <c r="L21" s="136"/>
    </row>
    <row r="22" spans="1:12" ht="16" x14ac:dyDescent="0.2">
      <c r="A22" s="125" t="s">
        <v>29</v>
      </c>
      <c r="B22" s="126" t="s">
        <v>47</v>
      </c>
      <c r="C22" s="124" t="s">
        <v>48</v>
      </c>
      <c r="D22" s="3">
        <v>10.5</v>
      </c>
      <c r="E22" s="4">
        <v>9</v>
      </c>
      <c r="F22" s="130">
        <v>45614.618402777778</v>
      </c>
      <c r="G22" s="4">
        <f t="shared" si="0"/>
        <v>94.5</v>
      </c>
      <c r="K22" s="128"/>
      <c r="L22" s="136"/>
    </row>
    <row r="23" spans="1:12" ht="16" x14ac:dyDescent="0.2">
      <c r="A23" s="125" t="s">
        <v>31</v>
      </c>
      <c r="B23" s="126" t="s">
        <v>47</v>
      </c>
      <c r="C23" s="124" t="s">
        <v>48</v>
      </c>
      <c r="D23" s="3">
        <v>14</v>
      </c>
      <c r="E23" s="4">
        <v>10</v>
      </c>
      <c r="F23" s="130">
        <v>45615.341840277775</v>
      </c>
      <c r="G23" s="4">
        <f t="shared" si="0"/>
        <v>140</v>
      </c>
      <c r="K23" s="128"/>
      <c r="L23" s="136"/>
    </row>
    <row r="24" spans="1:12" ht="16" x14ac:dyDescent="0.2">
      <c r="A24" s="123" t="s">
        <v>5</v>
      </c>
      <c r="B24" s="124" t="s">
        <v>45</v>
      </c>
      <c r="C24" s="124" t="s">
        <v>49</v>
      </c>
      <c r="D24" s="3">
        <v>12.5</v>
      </c>
      <c r="E24" s="4">
        <v>11</v>
      </c>
      <c r="F24" s="130">
        <v>45616.482523148145</v>
      </c>
      <c r="G24" s="4">
        <f t="shared" si="0"/>
        <v>137.5</v>
      </c>
      <c r="K24" s="128"/>
      <c r="L24" s="136"/>
    </row>
    <row r="25" spans="1:12" ht="16" x14ac:dyDescent="0.2">
      <c r="A25" s="123" t="s">
        <v>9</v>
      </c>
      <c r="B25" s="124" t="s">
        <v>45</v>
      </c>
      <c r="C25" s="124" t="s">
        <v>49</v>
      </c>
      <c r="D25" s="3">
        <v>10</v>
      </c>
      <c r="E25" s="4">
        <v>12</v>
      </c>
      <c r="F25" s="130">
        <v>45617.747453703705</v>
      </c>
      <c r="G25" s="4">
        <f t="shared" si="0"/>
        <v>120</v>
      </c>
      <c r="K25" s="128"/>
      <c r="L25" s="136"/>
    </row>
    <row r="26" spans="1:12" ht="16" x14ac:dyDescent="0.2">
      <c r="A26" s="123" t="s">
        <v>11</v>
      </c>
      <c r="B26" s="124" t="s">
        <v>45</v>
      </c>
      <c r="C26" s="124" t="s">
        <v>49</v>
      </c>
      <c r="D26" s="3">
        <v>14</v>
      </c>
      <c r="E26" s="4">
        <v>1</v>
      </c>
      <c r="F26" s="130">
        <v>45618.406307870369</v>
      </c>
      <c r="G26" s="4">
        <f t="shared" si="0"/>
        <v>14</v>
      </c>
      <c r="K26" s="128"/>
      <c r="L26" s="136"/>
    </row>
    <row r="27" spans="1:12" ht="16" x14ac:dyDescent="0.2">
      <c r="A27" s="123" t="s">
        <v>14</v>
      </c>
      <c r="B27" s="124" t="s">
        <v>45</v>
      </c>
      <c r="C27" s="124" t="s">
        <v>49</v>
      </c>
      <c r="D27" s="3">
        <v>8.5</v>
      </c>
      <c r="E27" s="4">
        <v>2</v>
      </c>
      <c r="F27" s="130">
        <v>45619.646296296298</v>
      </c>
      <c r="G27" s="4">
        <f t="shared" si="0"/>
        <v>17</v>
      </c>
      <c r="K27" s="128"/>
      <c r="L27" s="136"/>
    </row>
    <row r="28" spans="1:12" ht="16" x14ac:dyDescent="0.2">
      <c r="A28" s="123" t="s">
        <v>16</v>
      </c>
      <c r="B28" s="124" t="s">
        <v>45</v>
      </c>
      <c r="C28" s="124" t="s">
        <v>49</v>
      </c>
      <c r="D28" s="3">
        <v>13</v>
      </c>
      <c r="E28" s="4">
        <v>3</v>
      </c>
      <c r="F28" s="130">
        <v>45620.30914351852</v>
      </c>
      <c r="G28" s="4">
        <f t="shared" si="0"/>
        <v>39</v>
      </c>
      <c r="K28" s="128"/>
      <c r="L28" s="136"/>
    </row>
    <row r="29" spans="1:12" ht="16" x14ac:dyDescent="0.2">
      <c r="A29" s="123" t="s">
        <v>19</v>
      </c>
      <c r="B29" s="124" t="s">
        <v>45</v>
      </c>
      <c r="C29" s="124" t="s">
        <v>49</v>
      </c>
      <c r="D29" s="3">
        <v>16.5</v>
      </c>
      <c r="E29" s="4">
        <v>4</v>
      </c>
      <c r="F29" s="130">
        <v>45621.802025462966</v>
      </c>
      <c r="G29" s="4">
        <f t="shared" si="0"/>
        <v>66</v>
      </c>
      <c r="K29" s="128"/>
      <c r="L29" s="136"/>
    </row>
    <row r="30" spans="1:12" ht="16" x14ac:dyDescent="0.2">
      <c r="A30" s="123" t="s">
        <v>21</v>
      </c>
      <c r="B30" s="124" t="s">
        <v>45</v>
      </c>
      <c r="C30" s="124" t="s">
        <v>49</v>
      </c>
      <c r="D30" s="3">
        <v>11</v>
      </c>
      <c r="E30" s="4">
        <v>5</v>
      </c>
      <c r="F30" s="130">
        <v>45622.568344907406</v>
      </c>
      <c r="G30" s="4">
        <f t="shared" si="0"/>
        <v>55</v>
      </c>
      <c r="K30" s="128"/>
      <c r="L30" s="136"/>
    </row>
    <row r="31" spans="1:12" ht="16" x14ac:dyDescent="0.2">
      <c r="A31" s="123" t="s">
        <v>24</v>
      </c>
      <c r="B31" s="124" t="s">
        <v>45</v>
      </c>
      <c r="C31" s="124" t="s">
        <v>49</v>
      </c>
      <c r="D31" s="3">
        <v>13.5</v>
      </c>
      <c r="E31" s="4">
        <v>6</v>
      </c>
      <c r="F31" s="130">
        <v>45623.779166666667</v>
      </c>
      <c r="G31" s="4">
        <f t="shared" si="0"/>
        <v>81</v>
      </c>
      <c r="K31" s="128"/>
      <c r="L31" s="137"/>
    </row>
    <row r="32" spans="1:12" x14ac:dyDescent="0.2">
      <c r="A32" s="123" t="s">
        <v>26</v>
      </c>
      <c r="B32" s="124" t="s">
        <v>45</v>
      </c>
      <c r="C32" s="124" t="s">
        <v>49</v>
      </c>
      <c r="D32" s="3">
        <v>9.5</v>
      </c>
      <c r="E32" s="4">
        <v>7</v>
      </c>
      <c r="F32" s="130">
        <v>45624.427488425928</v>
      </c>
      <c r="G32" s="4">
        <f t="shared" si="0"/>
        <v>66.5</v>
      </c>
      <c r="K32" s="128"/>
    </row>
    <row r="33" spans="1:11" x14ac:dyDescent="0.2">
      <c r="A33" s="123" t="s">
        <v>29</v>
      </c>
      <c r="B33" s="124" t="s">
        <v>45</v>
      </c>
      <c r="C33" s="124" t="s">
        <v>49</v>
      </c>
      <c r="D33" s="3">
        <v>12.5</v>
      </c>
      <c r="E33" s="4">
        <v>8</v>
      </c>
      <c r="F33" s="130">
        <v>45625.685937499999</v>
      </c>
      <c r="G33" s="4">
        <f t="shared" si="0"/>
        <v>100</v>
      </c>
      <c r="K33" s="128"/>
    </row>
    <row r="34" spans="1:11" x14ac:dyDescent="0.2">
      <c r="A34" s="123" t="s">
        <v>31</v>
      </c>
      <c r="B34" s="124" t="s">
        <v>45</v>
      </c>
      <c r="C34" s="124" t="s">
        <v>49</v>
      </c>
      <c r="D34" s="3">
        <v>11</v>
      </c>
      <c r="E34" s="4">
        <v>9</v>
      </c>
      <c r="F34" s="130">
        <v>45626.326620370368</v>
      </c>
      <c r="G34" s="4">
        <f t="shared" si="0"/>
        <v>99</v>
      </c>
      <c r="K34" s="128"/>
    </row>
    <row r="35" spans="1:11" x14ac:dyDescent="0.2">
      <c r="A35" s="125" t="s">
        <v>5</v>
      </c>
      <c r="B35" s="126" t="s">
        <v>47</v>
      </c>
      <c r="C35" s="126" t="s">
        <v>50</v>
      </c>
      <c r="D35" s="3">
        <v>14.5</v>
      </c>
      <c r="E35" s="4">
        <v>10</v>
      </c>
      <c r="F35" s="130">
        <v>45627.385069444441</v>
      </c>
      <c r="G35" s="4">
        <f t="shared" si="0"/>
        <v>145</v>
      </c>
      <c r="K35" s="128"/>
    </row>
    <row r="36" spans="1:11" x14ac:dyDescent="0.2">
      <c r="A36" s="125" t="s">
        <v>9</v>
      </c>
      <c r="B36" s="126" t="s">
        <v>47</v>
      </c>
      <c r="C36" s="126" t="s">
        <v>50</v>
      </c>
      <c r="D36" s="3">
        <v>13</v>
      </c>
      <c r="E36" s="4">
        <v>11</v>
      </c>
      <c r="F36" s="130">
        <v>45628.848495370374</v>
      </c>
      <c r="G36" s="4">
        <f t="shared" si="0"/>
        <v>143</v>
      </c>
      <c r="K36" s="128"/>
    </row>
    <row r="37" spans="1:11" x14ac:dyDescent="0.2">
      <c r="A37" s="125" t="s">
        <v>11</v>
      </c>
      <c r="B37" s="126" t="s">
        <v>47</v>
      </c>
      <c r="C37" s="126" t="s">
        <v>50</v>
      </c>
      <c r="D37" s="3">
        <v>15</v>
      </c>
      <c r="E37" s="4">
        <v>12</v>
      </c>
      <c r="F37" s="130">
        <v>45629.357812499999</v>
      </c>
      <c r="G37" s="4">
        <f t="shared" si="0"/>
        <v>180</v>
      </c>
      <c r="K37" s="128"/>
    </row>
    <row r="38" spans="1:11" x14ac:dyDescent="0.2">
      <c r="A38" s="125" t="s">
        <v>14</v>
      </c>
      <c r="B38" s="126" t="s">
        <v>47</v>
      </c>
      <c r="C38" s="126" t="s">
        <v>50</v>
      </c>
      <c r="D38" s="3">
        <v>13.5</v>
      </c>
      <c r="E38" s="4">
        <v>1</v>
      </c>
      <c r="F38" s="130">
        <v>45630.666435185187</v>
      </c>
      <c r="G38" s="4">
        <f t="shared" si="0"/>
        <v>13.5</v>
      </c>
    </row>
    <row r="39" spans="1:11" x14ac:dyDescent="0.2">
      <c r="A39" s="125" t="s">
        <v>16</v>
      </c>
      <c r="B39" s="126" t="s">
        <v>47</v>
      </c>
      <c r="C39" s="126" t="s">
        <v>50</v>
      </c>
      <c r="D39" s="3">
        <v>14</v>
      </c>
      <c r="E39" s="4">
        <v>2</v>
      </c>
      <c r="F39" s="130">
        <v>45631.466261574074</v>
      </c>
      <c r="G39" s="4">
        <f t="shared" si="0"/>
        <v>28</v>
      </c>
    </row>
    <row r="40" spans="1:11" x14ac:dyDescent="0.2">
      <c r="A40" s="125" t="s">
        <v>19</v>
      </c>
      <c r="B40" s="126" t="s">
        <v>47</v>
      </c>
      <c r="C40" s="126" t="s">
        <v>50</v>
      </c>
      <c r="D40" s="3">
        <v>16</v>
      </c>
      <c r="E40" s="4">
        <v>3</v>
      </c>
      <c r="F40" s="130">
        <v>45632.731307870374</v>
      </c>
      <c r="G40" s="4">
        <f t="shared" si="0"/>
        <v>48</v>
      </c>
    </row>
    <row r="41" spans="1:11" x14ac:dyDescent="0.2">
      <c r="A41" s="125" t="s">
        <v>21</v>
      </c>
      <c r="B41" s="126" t="s">
        <v>47</v>
      </c>
      <c r="C41" s="126" t="s">
        <v>50</v>
      </c>
      <c r="D41" s="3">
        <v>9.5</v>
      </c>
      <c r="E41" s="4">
        <v>4</v>
      </c>
      <c r="F41" s="130">
        <v>45638.598738425928</v>
      </c>
      <c r="G41" s="4">
        <f t="shared" si="0"/>
        <v>38</v>
      </c>
    </row>
    <row r="42" spans="1:11" x14ac:dyDescent="0.2">
      <c r="A42" s="125" t="s">
        <v>24</v>
      </c>
      <c r="B42" s="126" t="s">
        <v>47</v>
      </c>
      <c r="C42" s="126" t="s">
        <v>50</v>
      </c>
      <c r="D42" s="3">
        <v>12</v>
      </c>
      <c r="E42" s="4">
        <v>5</v>
      </c>
      <c r="F42" s="130">
        <v>45639.775972222225</v>
      </c>
      <c r="G42" s="4">
        <f t="shared" si="0"/>
        <v>60</v>
      </c>
    </row>
    <row r="43" spans="1:11" x14ac:dyDescent="0.2">
      <c r="A43" s="125" t="s">
        <v>26</v>
      </c>
      <c r="B43" s="126" t="s">
        <v>47</v>
      </c>
      <c r="C43" s="126" t="s">
        <v>50</v>
      </c>
      <c r="D43" s="3">
        <v>9</v>
      </c>
      <c r="E43" s="4">
        <v>6</v>
      </c>
      <c r="F43" s="130">
        <v>45640.365266203706</v>
      </c>
      <c r="G43" s="4">
        <f t="shared" si="0"/>
        <v>54</v>
      </c>
    </row>
    <row r="44" spans="1:11" x14ac:dyDescent="0.2">
      <c r="A44" s="125" t="s">
        <v>29</v>
      </c>
      <c r="B44" s="126" t="s">
        <v>47</v>
      </c>
      <c r="C44" s="126" t="s">
        <v>50</v>
      </c>
      <c r="D44" s="3">
        <v>13.5</v>
      </c>
      <c r="E44" s="4">
        <v>7</v>
      </c>
      <c r="F44" s="130">
        <v>45641.827476851853</v>
      </c>
      <c r="G44" s="4">
        <f t="shared" si="0"/>
        <v>94.5</v>
      </c>
    </row>
    <row r="45" spans="1:11" x14ac:dyDescent="0.2">
      <c r="A45" s="125" t="s">
        <v>31</v>
      </c>
      <c r="B45" s="126" t="s">
        <v>47</v>
      </c>
      <c r="C45" s="126" t="s">
        <v>50</v>
      </c>
      <c r="D45" s="3">
        <v>15.5</v>
      </c>
      <c r="E45" s="4">
        <v>8</v>
      </c>
      <c r="F45" s="130">
        <v>45642.464143518519</v>
      </c>
      <c r="G45" s="4">
        <f t="shared" si="0"/>
        <v>124</v>
      </c>
    </row>
    <row r="46" spans="1:11" x14ac:dyDescent="0.2">
      <c r="A46" s="123" t="s">
        <v>5</v>
      </c>
      <c r="B46" s="124" t="s">
        <v>45</v>
      </c>
      <c r="C46" s="124" t="s">
        <v>51</v>
      </c>
      <c r="D46" s="3">
        <v>13.5</v>
      </c>
      <c r="E46" s="4">
        <v>9</v>
      </c>
      <c r="F46" s="130">
        <v>45643.645682870374</v>
      </c>
      <c r="G46" s="4">
        <f t="shared" si="0"/>
        <v>121.5</v>
      </c>
    </row>
    <row r="47" spans="1:11" x14ac:dyDescent="0.2">
      <c r="A47" s="123" t="s">
        <v>9</v>
      </c>
      <c r="B47" s="124" t="s">
        <v>45</v>
      </c>
      <c r="C47" s="124" t="s">
        <v>51</v>
      </c>
      <c r="D47" s="3">
        <v>15</v>
      </c>
      <c r="E47" s="4">
        <v>10</v>
      </c>
      <c r="F47" s="130">
        <v>45644.426446759258</v>
      </c>
      <c r="G47" s="4">
        <f t="shared" si="0"/>
        <v>150</v>
      </c>
    </row>
    <row r="48" spans="1:11" x14ac:dyDescent="0.2">
      <c r="A48" s="123" t="s">
        <v>11</v>
      </c>
      <c r="B48" s="124" t="s">
        <v>45</v>
      </c>
      <c r="C48" s="124" t="s">
        <v>51</v>
      </c>
      <c r="D48" s="3">
        <v>12</v>
      </c>
      <c r="E48" s="4">
        <v>11</v>
      </c>
      <c r="F48" s="130">
        <v>45645.702928240738</v>
      </c>
      <c r="G48" s="4">
        <f t="shared" si="0"/>
        <v>132</v>
      </c>
    </row>
    <row r="49" spans="1:7" x14ac:dyDescent="0.2">
      <c r="A49" s="123" t="s">
        <v>14</v>
      </c>
      <c r="B49" s="124" t="s">
        <v>45</v>
      </c>
      <c r="C49" s="124" t="s">
        <v>51</v>
      </c>
      <c r="D49" s="3">
        <v>14.5</v>
      </c>
      <c r="E49" s="4">
        <v>12</v>
      </c>
      <c r="F49" s="130">
        <v>45646.314826388887</v>
      </c>
      <c r="G49" s="4">
        <f t="shared" si="0"/>
        <v>174</v>
      </c>
    </row>
    <row r="50" spans="1:7" x14ac:dyDescent="0.2">
      <c r="A50" s="123" t="s">
        <v>16</v>
      </c>
      <c r="B50" s="124" t="s">
        <v>45</v>
      </c>
      <c r="C50" s="124" t="s">
        <v>51</v>
      </c>
      <c r="D50" s="3">
        <v>12.5</v>
      </c>
      <c r="E50" s="4">
        <v>1</v>
      </c>
      <c r="F50" s="130">
        <v>45647.57472222222</v>
      </c>
      <c r="G50" s="4">
        <f t="shared" si="0"/>
        <v>12.5</v>
      </c>
    </row>
    <row r="51" spans="1:7" x14ac:dyDescent="0.2">
      <c r="A51" s="123" t="s">
        <v>19</v>
      </c>
      <c r="B51" s="124" t="s">
        <v>45</v>
      </c>
      <c r="C51" s="124" t="s">
        <v>51</v>
      </c>
      <c r="D51" s="3">
        <v>11.5</v>
      </c>
      <c r="E51" s="4">
        <v>2</v>
      </c>
      <c r="F51" s="130">
        <v>45648.390092592592</v>
      </c>
      <c r="G51" s="4">
        <f t="shared" si="0"/>
        <v>23</v>
      </c>
    </row>
    <row r="52" spans="1:7" x14ac:dyDescent="0.2">
      <c r="A52" s="123" t="s">
        <v>21</v>
      </c>
      <c r="B52" s="124" t="s">
        <v>45</v>
      </c>
      <c r="C52" s="124" t="s">
        <v>51</v>
      </c>
      <c r="D52" s="3">
        <v>16</v>
      </c>
      <c r="E52" s="4">
        <v>3</v>
      </c>
      <c r="F52" s="130">
        <v>45649.538171296299</v>
      </c>
      <c r="G52" s="4">
        <f t="shared" si="0"/>
        <v>48</v>
      </c>
    </row>
    <row r="53" spans="1:7" x14ac:dyDescent="0.2">
      <c r="A53" s="123" t="s">
        <v>24</v>
      </c>
      <c r="B53" s="124" t="s">
        <v>45</v>
      </c>
      <c r="C53" s="124" t="s">
        <v>51</v>
      </c>
      <c r="D53" s="3">
        <v>14</v>
      </c>
      <c r="E53" s="4">
        <v>4</v>
      </c>
      <c r="F53" s="130">
        <v>45650.715405092589</v>
      </c>
      <c r="G53" s="4">
        <f t="shared" si="0"/>
        <v>56</v>
      </c>
    </row>
    <row r="54" spans="1:7" x14ac:dyDescent="0.2">
      <c r="A54" s="123" t="s">
        <v>26</v>
      </c>
      <c r="B54" s="124" t="s">
        <v>45</v>
      </c>
      <c r="C54" s="124" t="s">
        <v>51</v>
      </c>
      <c r="D54" s="3">
        <v>10.5</v>
      </c>
      <c r="E54" s="4">
        <v>5</v>
      </c>
      <c r="F54" s="130">
        <v>45651.482152777775</v>
      </c>
      <c r="G54" s="4">
        <f t="shared" si="0"/>
        <v>52.5</v>
      </c>
    </row>
    <row r="55" spans="1:7" x14ac:dyDescent="0.2">
      <c r="A55" s="123" t="s">
        <v>29</v>
      </c>
      <c r="B55" s="124" t="s">
        <v>45</v>
      </c>
      <c r="C55" s="124" t="s">
        <v>51</v>
      </c>
      <c r="D55" s="3">
        <v>14</v>
      </c>
      <c r="E55" s="4">
        <v>6</v>
      </c>
      <c r="F55" s="130">
        <v>45652.617696759262</v>
      </c>
      <c r="G55" s="4">
        <f t="shared" si="0"/>
        <v>84</v>
      </c>
    </row>
    <row r="56" spans="1:7" x14ac:dyDescent="0.2">
      <c r="A56" s="123" t="s">
        <v>31</v>
      </c>
      <c r="B56" s="124" t="s">
        <v>45</v>
      </c>
      <c r="C56" s="124" t="s">
        <v>51</v>
      </c>
      <c r="D56" s="3">
        <v>16.5</v>
      </c>
      <c r="E56" s="4">
        <v>7</v>
      </c>
      <c r="F56" s="130">
        <v>45653.34207175926</v>
      </c>
      <c r="G56" s="4">
        <f t="shared" si="0"/>
        <v>115.5</v>
      </c>
    </row>
    <row r="57" spans="1:7" x14ac:dyDescent="0.2">
      <c r="A57" s="125" t="s">
        <v>5</v>
      </c>
      <c r="B57" s="126" t="s">
        <v>47</v>
      </c>
      <c r="C57" s="126" t="s">
        <v>52</v>
      </c>
      <c r="D57" s="3">
        <v>12</v>
      </c>
      <c r="E57" s="4">
        <v>8</v>
      </c>
      <c r="F57" s="130">
        <v>45654.810266203705</v>
      </c>
      <c r="G57" s="4">
        <f t="shared" si="0"/>
        <v>96</v>
      </c>
    </row>
    <row r="58" spans="1:7" x14ac:dyDescent="0.2">
      <c r="A58" s="125" t="s">
        <v>9</v>
      </c>
      <c r="B58" s="126" t="s">
        <v>47</v>
      </c>
      <c r="C58" s="126" t="s">
        <v>52</v>
      </c>
      <c r="D58" s="3">
        <v>14</v>
      </c>
      <c r="E58" s="4">
        <v>9</v>
      </c>
      <c r="F58" s="130">
        <v>45655.457094907404</v>
      </c>
      <c r="G58" s="4">
        <f t="shared" si="0"/>
        <v>126</v>
      </c>
    </row>
    <row r="59" spans="1:7" x14ac:dyDescent="0.2">
      <c r="A59" s="125" t="s">
        <v>11</v>
      </c>
      <c r="B59" s="126" t="s">
        <v>47</v>
      </c>
      <c r="C59" s="126" t="s">
        <v>52</v>
      </c>
      <c r="D59" s="3">
        <v>15.5</v>
      </c>
      <c r="E59" s="4">
        <v>10</v>
      </c>
      <c r="F59" s="130">
        <v>45656.635671296295</v>
      </c>
      <c r="G59" s="4">
        <f t="shared" si="0"/>
        <v>155</v>
      </c>
    </row>
    <row r="60" spans="1:7" x14ac:dyDescent="0.2">
      <c r="A60" s="125" t="s">
        <v>14</v>
      </c>
      <c r="B60" s="126" t="s">
        <v>47</v>
      </c>
      <c r="C60" s="126" t="s">
        <v>52</v>
      </c>
      <c r="D60" s="3">
        <v>14.5</v>
      </c>
      <c r="E60" s="4">
        <v>11</v>
      </c>
      <c r="F60" s="130">
        <v>45657.40320601852</v>
      </c>
      <c r="G60" s="4">
        <f t="shared" si="0"/>
        <v>159.5</v>
      </c>
    </row>
    <row r="61" spans="1:7" x14ac:dyDescent="0.2">
      <c r="A61" s="125" t="s">
        <v>16</v>
      </c>
      <c r="B61" s="126" t="s">
        <v>47</v>
      </c>
      <c r="C61" s="126" t="s">
        <v>52</v>
      </c>
      <c r="D61" s="3">
        <v>12</v>
      </c>
      <c r="E61" s="4">
        <v>12</v>
      </c>
      <c r="F61" s="130">
        <v>45658.524259259262</v>
      </c>
      <c r="G61" s="4">
        <f t="shared" si="0"/>
        <v>144</v>
      </c>
    </row>
    <row r="62" spans="1:7" x14ac:dyDescent="0.2">
      <c r="A62" s="125" t="s">
        <v>19</v>
      </c>
      <c r="B62" s="126" t="s">
        <v>47</v>
      </c>
      <c r="C62" s="126" t="s">
        <v>52</v>
      </c>
      <c r="D62" s="3">
        <v>15</v>
      </c>
      <c r="E62" s="4">
        <v>1</v>
      </c>
      <c r="F62" s="130">
        <v>45659.614722222221</v>
      </c>
      <c r="G62" s="4">
        <f t="shared" si="0"/>
        <v>15</v>
      </c>
    </row>
    <row r="63" spans="1:7" x14ac:dyDescent="0.2">
      <c r="A63" s="125" t="s">
        <v>21</v>
      </c>
      <c r="B63" s="126" t="s">
        <v>47</v>
      </c>
      <c r="C63" s="126" t="s">
        <v>52</v>
      </c>
      <c r="D63" s="3">
        <v>14</v>
      </c>
      <c r="E63" s="4">
        <v>2</v>
      </c>
      <c r="F63" s="130">
        <v>45660.349814814814</v>
      </c>
      <c r="G63" s="4">
        <f t="shared" si="0"/>
        <v>28</v>
      </c>
    </row>
    <row r="64" spans="1:7" x14ac:dyDescent="0.2">
      <c r="A64" s="125" t="s">
        <v>24</v>
      </c>
      <c r="B64" s="126" t="s">
        <v>47</v>
      </c>
      <c r="C64" s="126" t="s">
        <v>52</v>
      </c>
      <c r="D64" s="3">
        <v>13.5</v>
      </c>
      <c r="E64" s="4">
        <v>3</v>
      </c>
      <c r="F64" s="130">
        <v>45661.749652777777</v>
      </c>
      <c r="G64" s="4">
        <f t="shared" si="0"/>
        <v>40.5</v>
      </c>
    </row>
    <row r="65" spans="1:7" x14ac:dyDescent="0.2">
      <c r="A65" s="125" t="s">
        <v>26</v>
      </c>
      <c r="B65" s="126" t="s">
        <v>47</v>
      </c>
      <c r="C65" s="126" t="s">
        <v>52</v>
      </c>
      <c r="D65" s="3">
        <v>16</v>
      </c>
      <c r="E65" s="4">
        <v>4</v>
      </c>
      <c r="F65" s="130">
        <v>45662.385416666664</v>
      </c>
      <c r="G65" s="4">
        <f t="shared" si="0"/>
        <v>64</v>
      </c>
    </row>
    <row r="66" spans="1:7" x14ac:dyDescent="0.2">
      <c r="A66" s="125" t="s">
        <v>29</v>
      </c>
      <c r="B66" s="126" t="s">
        <v>47</v>
      </c>
      <c r="C66" s="126" t="s">
        <v>52</v>
      </c>
      <c r="D66" s="3">
        <v>11</v>
      </c>
      <c r="E66" s="4">
        <v>5</v>
      </c>
      <c r="F66" s="130">
        <v>45663.491203703707</v>
      </c>
      <c r="G66" s="4">
        <f t="shared" si="0"/>
        <v>55</v>
      </c>
    </row>
    <row r="67" spans="1:7" x14ac:dyDescent="0.2">
      <c r="A67" s="125" t="s">
        <v>31</v>
      </c>
      <c r="B67" s="126" t="s">
        <v>47</v>
      </c>
      <c r="C67" s="126" t="s">
        <v>52</v>
      </c>
      <c r="D67" s="3">
        <v>13</v>
      </c>
      <c r="E67" s="4">
        <v>6</v>
      </c>
      <c r="F67" s="130">
        <v>45664.818171296298</v>
      </c>
      <c r="G67" s="4">
        <f t="shared" ref="G67:G130" si="1">D67*E67</f>
        <v>78</v>
      </c>
    </row>
    <row r="68" spans="1:7" x14ac:dyDescent="0.2">
      <c r="A68" s="125" t="s">
        <v>5</v>
      </c>
      <c r="B68" s="126" t="s">
        <v>47</v>
      </c>
      <c r="C68" s="126" t="s">
        <v>53</v>
      </c>
      <c r="D68" s="3">
        <v>15</v>
      </c>
      <c r="E68" s="4">
        <v>7</v>
      </c>
      <c r="F68" s="130">
        <v>45665.286493055559</v>
      </c>
      <c r="G68" s="4">
        <f t="shared" si="1"/>
        <v>105</v>
      </c>
    </row>
    <row r="69" spans="1:7" x14ac:dyDescent="0.2">
      <c r="A69" s="125" t="s">
        <v>9</v>
      </c>
      <c r="B69" s="126" t="s">
        <v>47</v>
      </c>
      <c r="C69" s="126" t="s">
        <v>53</v>
      </c>
      <c r="D69" s="3">
        <v>16</v>
      </c>
      <c r="E69" s="4">
        <v>8</v>
      </c>
      <c r="F69" s="130">
        <v>45666.766724537039</v>
      </c>
      <c r="G69" s="4">
        <f t="shared" si="1"/>
        <v>128</v>
      </c>
    </row>
    <row r="70" spans="1:7" x14ac:dyDescent="0.2">
      <c r="A70" s="125" t="s">
        <v>11</v>
      </c>
      <c r="B70" s="126" t="s">
        <v>47</v>
      </c>
      <c r="C70" s="126" t="s">
        <v>53</v>
      </c>
      <c r="D70" s="3">
        <v>14.5</v>
      </c>
      <c r="E70" s="4">
        <v>9</v>
      </c>
      <c r="F70" s="130">
        <v>45667.545775462961</v>
      </c>
      <c r="G70" s="4">
        <f t="shared" si="1"/>
        <v>130.5</v>
      </c>
    </row>
    <row r="71" spans="1:7" x14ac:dyDescent="0.2">
      <c r="A71" s="125" t="s">
        <v>14</v>
      </c>
      <c r="B71" s="126" t="s">
        <v>47</v>
      </c>
      <c r="C71" s="126" t="s">
        <v>53</v>
      </c>
      <c r="D71" s="3">
        <v>12</v>
      </c>
      <c r="E71" s="4">
        <v>10</v>
      </c>
      <c r="F71" s="130">
        <v>45668.30190972222</v>
      </c>
      <c r="G71" s="4">
        <f t="shared" si="1"/>
        <v>120</v>
      </c>
    </row>
    <row r="72" spans="1:7" x14ac:dyDescent="0.2">
      <c r="A72" s="125" t="s">
        <v>16</v>
      </c>
      <c r="B72" s="126" t="s">
        <v>47</v>
      </c>
      <c r="C72" s="126" t="s">
        <v>53</v>
      </c>
      <c r="D72" s="3">
        <v>15.5</v>
      </c>
      <c r="E72" s="4">
        <v>11</v>
      </c>
      <c r="F72" s="130">
        <v>45669.689837962964</v>
      </c>
      <c r="G72" s="4">
        <f t="shared" si="1"/>
        <v>170.5</v>
      </c>
    </row>
    <row r="73" spans="1:7" x14ac:dyDescent="0.2">
      <c r="A73" s="125" t="s">
        <v>19</v>
      </c>
      <c r="B73" s="126" t="s">
        <v>47</v>
      </c>
      <c r="C73" s="126" t="s">
        <v>53</v>
      </c>
      <c r="D73" s="3">
        <v>13</v>
      </c>
      <c r="E73" s="4">
        <v>12</v>
      </c>
      <c r="F73" s="130">
        <v>45670.645821759259</v>
      </c>
      <c r="G73" s="4">
        <f t="shared" si="1"/>
        <v>156</v>
      </c>
    </row>
    <row r="74" spans="1:7" x14ac:dyDescent="0.2">
      <c r="A74" s="125" t="s">
        <v>21</v>
      </c>
      <c r="B74" s="126" t="s">
        <v>47</v>
      </c>
      <c r="C74" s="126" t="s">
        <v>53</v>
      </c>
      <c r="D74" s="3">
        <v>10.5</v>
      </c>
      <c r="E74" s="4">
        <v>1</v>
      </c>
      <c r="F74" s="130">
        <v>45671.425462962965</v>
      </c>
      <c r="G74" s="4">
        <f t="shared" si="1"/>
        <v>10.5</v>
      </c>
    </row>
    <row r="75" spans="1:7" x14ac:dyDescent="0.2">
      <c r="A75" s="125" t="s">
        <v>24</v>
      </c>
      <c r="B75" s="126" t="s">
        <v>47</v>
      </c>
      <c r="C75" s="126" t="s">
        <v>53</v>
      </c>
      <c r="D75" s="3">
        <v>15</v>
      </c>
      <c r="E75" s="4">
        <v>2</v>
      </c>
      <c r="F75" s="130">
        <v>45672.618402777778</v>
      </c>
      <c r="G75" s="4">
        <f t="shared" si="1"/>
        <v>30</v>
      </c>
    </row>
    <row r="76" spans="1:7" x14ac:dyDescent="0.2">
      <c r="A76" s="125" t="s">
        <v>26</v>
      </c>
      <c r="B76" s="126" t="s">
        <v>47</v>
      </c>
      <c r="C76" s="126" t="s">
        <v>53</v>
      </c>
      <c r="D76" s="3">
        <v>10.5</v>
      </c>
      <c r="E76" s="4">
        <v>3</v>
      </c>
      <c r="F76" s="130">
        <v>45673.338402777779</v>
      </c>
      <c r="G76" s="4">
        <f t="shared" si="1"/>
        <v>31.5</v>
      </c>
    </row>
    <row r="77" spans="1:7" x14ac:dyDescent="0.2">
      <c r="A77" s="125" t="s">
        <v>29</v>
      </c>
      <c r="B77" s="126" t="s">
        <v>47</v>
      </c>
      <c r="C77" s="126" t="s">
        <v>53</v>
      </c>
      <c r="D77" s="3">
        <v>15</v>
      </c>
      <c r="E77" s="4">
        <v>4</v>
      </c>
      <c r="F77" s="130">
        <v>45674.843877314815</v>
      </c>
      <c r="G77" s="4">
        <f t="shared" si="1"/>
        <v>60</v>
      </c>
    </row>
    <row r="78" spans="1:7" x14ac:dyDescent="0.2">
      <c r="A78" s="125" t="s">
        <v>31</v>
      </c>
      <c r="B78" s="126" t="s">
        <v>47</v>
      </c>
      <c r="C78" s="126" t="s">
        <v>53</v>
      </c>
      <c r="D78" s="3">
        <v>12</v>
      </c>
      <c r="E78" s="4">
        <v>5</v>
      </c>
      <c r="F78" s="130">
        <v>45675.539351851854</v>
      </c>
      <c r="G78" s="4">
        <f t="shared" si="1"/>
        <v>60</v>
      </c>
    </row>
    <row r="79" spans="1:7" x14ac:dyDescent="0.2">
      <c r="A79" s="125" t="s">
        <v>5</v>
      </c>
      <c r="B79" s="126" t="s">
        <v>47</v>
      </c>
      <c r="C79" s="126" t="s">
        <v>54</v>
      </c>
      <c r="D79" s="3">
        <v>8.5</v>
      </c>
      <c r="E79" s="4">
        <v>6</v>
      </c>
      <c r="F79" s="130">
        <v>45676.398298611108</v>
      </c>
      <c r="G79" s="4">
        <f t="shared" si="1"/>
        <v>51</v>
      </c>
    </row>
    <row r="80" spans="1:7" x14ac:dyDescent="0.2">
      <c r="A80" s="125" t="s">
        <v>9</v>
      </c>
      <c r="B80" s="126" t="s">
        <v>47</v>
      </c>
      <c r="C80" s="126" t="s">
        <v>54</v>
      </c>
      <c r="D80" s="3">
        <v>9</v>
      </c>
      <c r="E80" s="4">
        <v>7</v>
      </c>
      <c r="F80" s="130">
        <v>45677.678749999999</v>
      </c>
      <c r="G80" s="4">
        <f t="shared" si="1"/>
        <v>63</v>
      </c>
    </row>
    <row r="81" spans="1:7" x14ac:dyDescent="0.2">
      <c r="A81" s="125" t="s">
        <v>11</v>
      </c>
      <c r="B81" s="126" t="s">
        <v>47</v>
      </c>
      <c r="C81" s="126" t="s">
        <v>54</v>
      </c>
      <c r="D81" s="3">
        <v>10.5</v>
      </c>
      <c r="E81" s="4">
        <v>8</v>
      </c>
      <c r="F81" s="130">
        <v>45678.349826388891</v>
      </c>
      <c r="G81" s="4">
        <f t="shared" si="1"/>
        <v>84</v>
      </c>
    </row>
    <row r="82" spans="1:7" x14ac:dyDescent="0.2">
      <c r="A82" s="125" t="s">
        <v>14</v>
      </c>
      <c r="B82" s="126" t="s">
        <v>47</v>
      </c>
      <c r="C82" s="126" t="s">
        <v>54</v>
      </c>
      <c r="D82" s="3">
        <v>13</v>
      </c>
      <c r="E82" s="4">
        <v>9</v>
      </c>
      <c r="F82" s="130">
        <v>45679.594097222223</v>
      </c>
      <c r="G82" s="4">
        <f t="shared" si="1"/>
        <v>117</v>
      </c>
    </row>
    <row r="83" spans="1:7" x14ac:dyDescent="0.2">
      <c r="A83" s="125" t="s">
        <v>16</v>
      </c>
      <c r="B83" s="126" t="s">
        <v>47</v>
      </c>
      <c r="C83" s="126" t="s">
        <v>54</v>
      </c>
      <c r="D83" s="3">
        <v>16.5</v>
      </c>
      <c r="E83" s="4">
        <v>10</v>
      </c>
      <c r="F83" s="130">
        <v>45680.448206018518</v>
      </c>
      <c r="G83" s="4">
        <f t="shared" si="1"/>
        <v>165</v>
      </c>
    </row>
    <row r="84" spans="1:7" x14ac:dyDescent="0.2">
      <c r="A84" s="125" t="s">
        <v>19</v>
      </c>
      <c r="B84" s="126" t="s">
        <v>47</v>
      </c>
      <c r="C84" s="126" t="s">
        <v>54</v>
      </c>
      <c r="D84" s="3">
        <v>13.5</v>
      </c>
      <c r="E84" s="4">
        <v>11</v>
      </c>
      <c r="F84" s="130">
        <v>45681.679305555554</v>
      </c>
      <c r="G84" s="4">
        <f t="shared" si="1"/>
        <v>148.5</v>
      </c>
    </row>
    <row r="85" spans="1:7" x14ac:dyDescent="0.2">
      <c r="A85" s="125" t="s">
        <v>21</v>
      </c>
      <c r="B85" s="126" t="s">
        <v>47</v>
      </c>
      <c r="C85" s="126" t="s">
        <v>54</v>
      </c>
      <c r="D85" s="3">
        <v>12.5</v>
      </c>
      <c r="E85" s="4">
        <v>12</v>
      </c>
      <c r="F85" s="130">
        <v>45682.800439814811</v>
      </c>
      <c r="G85" s="4">
        <f t="shared" si="1"/>
        <v>150</v>
      </c>
    </row>
    <row r="86" spans="1:7" x14ac:dyDescent="0.2">
      <c r="A86" s="125" t="s">
        <v>24</v>
      </c>
      <c r="B86" s="126" t="s">
        <v>47</v>
      </c>
      <c r="C86" s="126" t="s">
        <v>54</v>
      </c>
      <c r="D86" s="3">
        <v>14</v>
      </c>
      <c r="E86" s="4">
        <v>1</v>
      </c>
      <c r="F86" s="130">
        <v>45683.479710648149</v>
      </c>
      <c r="G86" s="4">
        <f t="shared" si="1"/>
        <v>14</v>
      </c>
    </row>
    <row r="87" spans="1:7" x14ac:dyDescent="0.2">
      <c r="A87" s="125" t="s">
        <v>26</v>
      </c>
      <c r="B87" s="126" t="s">
        <v>47</v>
      </c>
      <c r="C87" s="126" t="s">
        <v>54</v>
      </c>
      <c r="D87" s="3">
        <v>10.5</v>
      </c>
      <c r="E87" s="4">
        <v>2</v>
      </c>
      <c r="F87" s="130">
        <v>45684.327418981484</v>
      </c>
      <c r="G87" s="4">
        <f t="shared" si="1"/>
        <v>21</v>
      </c>
    </row>
    <row r="88" spans="1:7" x14ac:dyDescent="0.2">
      <c r="A88" s="125" t="s">
        <v>29</v>
      </c>
      <c r="B88" s="126" t="s">
        <v>47</v>
      </c>
      <c r="C88" s="126" t="s">
        <v>54</v>
      </c>
      <c r="D88" s="3">
        <v>12</v>
      </c>
      <c r="E88" s="4">
        <v>3</v>
      </c>
      <c r="F88" s="130">
        <v>45685.712048611109</v>
      </c>
      <c r="G88" s="4">
        <f t="shared" si="1"/>
        <v>36</v>
      </c>
    </row>
    <row r="89" spans="1:7" x14ac:dyDescent="0.2">
      <c r="A89" s="125" t="s">
        <v>31</v>
      </c>
      <c r="B89" s="126" t="s">
        <v>47</v>
      </c>
      <c r="C89" s="126" t="s">
        <v>54</v>
      </c>
      <c r="D89" s="3">
        <v>13.5</v>
      </c>
      <c r="E89" s="4">
        <v>4</v>
      </c>
      <c r="F89" s="130">
        <v>45686.56590277778</v>
      </c>
      <c r="G89" s="4">
        <f t="shared" si="1"/>
        <v>54</v>
      </c>
    </row>
    <row r="90" spans="1:7" x14ac:dyDescent="0.2">
      <c r="A90" s="125" t="s">
        <v>5</v>
      </c>
      <c r="B90" s="126" t="s">
        <v>47</v>
      </c>
      <c r="C90" s="126" t="s">
        <v>55</v>
      </c>
      <c r="D90" s="3">
        <v>17.5</v>
      </c>
      <c r="E90" s="4">
        <v>5</v>
      </c>
      <c r="F90" s="130">
        <v>45687.414375</v>
      </c>
      <c r="G90" s="4">
        <f t="shared" si="1"/>
        <v>87.5</v>
      </c>
    </row>
    <row r="91" spans="1:7" x14ac:dyDescent="0.2">
      <c r="A91" s="125" t="s">
        <v>9</v>
      </c>
      <c r="B91" s="126" t="s">
        <v>47</v>
      </c>
      <c r="C91" s="126" t="s">
        <v>55</v>
      </c>
      <c r="D91" s="3">
        <v>18</v>
      </c>
      <c r="E91" s="4">
        <v>6</v>
      </c>
      <c r="F91" s="130">
        <v>45688.602465277778</v>
      </c>
      <c r="G91" s="4">
        <f t="shared" si="1"/>
        <v>108</v>
      </c>
    </row>
    <row r="92" spans="1:7" x14ac:dyDescent="0.2">
      <c r="A92" s="125" t="s">
        <v>11</v>
      </c>
      <c r="B92" s="126" t="s">
        <v>47</v>
      </c>
      <c r="C92" s="126" t="s">
        <v>55</v>
      </c>
      <c r="D92" s="3">
        <v>19</v>
      </c>
      <c r="E92" s="4">
        <v>7</v>
      </c>
      <c r="F92" s="130">
        <v>45689.365266203706</v>
      </c>
      <c r="G92" s="4">
        <f t="shared" si="1"/>
        <v>133</v>
      </c>
    </row>
    <row r="93" spans="1:7" x14ac:dyDescent="0.2">
      <c r="A93" s="125" t="s">
        <v>14</v>
      </c>
      <c r="B93" s="126" t="s">
        <v>47</v>
      </c>
      <c r="C93" s="126" t="s">
        <v>55</v>
      </c>
      <c r="D93" s="3">
        <v>17</v>
      </c>
      <c r="E93" s="4">
        <v>8</v>
      </c>
      <c r="F93" s="130">
        <v>45690.759895833333</v>
      </c>
      <c r="G93" s="4">
        <f t="shared" si="1"/>
        <v>136</v>
      </c>
    </row>
    <row r="94" spans="1:7" x14ac:dyDescent="0.2">
      <c r="A94" s="125" t="s">
        <v>16</v>
      </c>
      <c r="B94" s="126" t="s">
        <v>47</v>
      </c>
      <c r="C94" s="126" t="s">
        <v>55</v>
      </c>
      <c r="D94" s="3">
        <v>19.5</v>
      </c>
      <c r="E94" s="4">
        <v>9</v>
      </c>
      <c r="F94" s="130">
        <v>45691.435972222222</v>
      </c>
      <c r="G94" s="4">
        <f t="shared" si="1"/>
        <v>175.5</v>
      </c>
    </row>
    <row r="95" spans="1:7" x14ac:dyDescent="0.2">
      <c r="A95" s="125" t="s">
        <v>19</v>
      </c>
      <c r="B95" s="126" t="s">
        <v>47</v>
      </c>
      <c r="C95" s="126" t="s">
        <v>55</v>
      </c>
      <c r="D95" s="3">
        <v>18.5</v>
      </c>
      <c r="E95" s="4">
        <v>10</v>
      </c>
      <c r="F95" s="130">
        <v>45692.703703703701</v>
      </c>
      <c r="G95" s="4">
        <f t="shared" si="1"/>
        <v>185</v>
      </c>
    </row>
    <row r="96" spans="1:7" x14ac:dyDescent="0.2">
      <c r="A96" s="125" t="s">
        <v>21</v>
      </c>
      <c r="B96" s="126" t="s">
        <v>47</v>
      </c>
      <c r="C96" s="126" t="s">
        <v>55</v>
      </c>
      <c r="D96" s="3">
        <v>16.5</v>
      </c>
      <c r="E96" s="4">
        <v>11</v>
      </c>
      <c r="F96" s="130">
        <v>45693.459421296298</v>
      </c>
      <c r="G96" s="4">
        <f t="shared" si="1"/>
        <v>181.5</v>
      </c>
    </row>
    <row r="97" spans="1:7" x14ac:dyDescent="0.2">
      <c r="A97" s="125" t="s">
        <v>24</v>
      </c>
      <c r="B97" s="126" t="s">
        <v>47</v>
      </c>
      <c r="C97" s="126" t="s">
        <v>55</v>
      </c>
      <c r="D97" s="3">
        <v>16</v>
      </c>
      <c r="E97" s="4">
        <v>12</v>
      </c>
      <c r="F97" s="130">
        <v>45694.366111111114</v>
      </c>
      <c r="G97" s="4">
        <f t="shared" si="1"/>
        <v>192</v>
      </c>
    </row>
    <row r="98" spans="1:7" x14ac:dyDescent="0.2">
      <c r="A98" s="125" t="s">
        <v>26</v>
      </c>
      <c r="B98" s="126" t="s">
        <v>47</v>
      </c>
      <c r="C98" s="126" t="s">
        <v>55</v>
      </c>
      <c r="D98" s="3">
        <v>17.5</v>
      </c>
      <c r="E98" s="4">
        <v>1</v>
      </c>
      <c r="F98" s="130">
        <v>45695.650578703702</v>
      </c>
      <c r="G98" s="4">
        <f t="shared" si="1"/>
        <v>17.5</v>
      </c>
    </row>
    <row r="99" spans="1:7" x14ac:dyDescent="0.2">
      <c r="A99" s="125" t="s">
        <v>29</v>
      </c>
      <c r="B99" s="126" t="s">
        <v>47</v>
      </c>
      <c r="C99" s="126" t="s">
        <v>55</v>
      </c>
      <c r="D99" s="3">
        <v>17</v>
      </c>
      <c r="E99" s="4">
        <v>2</v>
      </c>
      <c r="F99" s="130">
        <v>45696.51357638889</v>
      </c>
      <c r="G99" s="4">
        <f t="shared" si="1"/>
        <v>34</v>
      </c>
    </row>
    <row r="100" spans="1:7" x14ac:dyDescent="0.2">
      <c r="A100" s="125" t="s">
        <v>31</v>
      </c>
      <c r="B100" s="126" t="s">
        <v>47</v>
      </c>
      <c r="C100" s="126" t="s">
        <v>55</v>
      </c>
      <c r="D100" s="3">
        <v>19.5</v>
      </c>
      <c r="E100" s="4">
        <v>3</v>
      </c>
      <c r="F100" s="130">
        <v>45697.61383101852</v>
      </c>
      <c r="G100" s="4">
        <f t="shared" si="1"/>
        <v>58.5</v>
      </c>
    </row>
    <row r="101" spans="1:7" x14ac:dyDescent="0.2">
      <c r="A101" s="125" t="s">
        <v>5</v>
      </c>
      <c r="B101" s="126" t="s">
        <v>47</v>
      </c>
      <c r="C101" s="126" t="s">
        <v>56</v>
      </c>
      <c r="D101" s="3">
        <v>10.5</v>
      </c>
      <c r="E101" s="4">
        <v>4</v>
      </c>
      <c r="F101" s="130">
        <v>45698.397349537037</v>
      </c>
      <c r="G101" s="4">
        <f t="shared" si="1"/>
        <v>42</v>
      </c>
    </row>
    <row r="102" spans="1:7" x14ac:dyDescent="0.2">
      <c r="A102" s="125" t="s">
        <v>9</v>
      </c>
      <c r="B102" s="126" t="s">
        <v>47</v>
      </c>
      <c r="C102" s="126" t="s">
        <v>56</v>
      </c>
      <c r="D102" s="3">
        <v>12.5</v>
      </c>
      <c r="E102" s="4">
        <v>5</v>
      </c>
      <c r="F102" s="130">
        <v>45699.573217592595</v>
      </c>
      <c r="G102" s="4">
        <f t="shared" si="1"/>
        <v>62.5</v>
      </c>
    </row>
    <row r="103" spans="1:7" x14ac:dyDescent="0.2">
      <c r="A103" s="125" t="s">
        <v>11</v>
      </c>
      <c r="B103" s="126" t="s">
        <v>47</v>
      </c>
      <c r="C103" s="126" t="s">
        <v>56</v>
      </c>
      <c r="D103" s="3">
        <v>11</v>
      </c>
      <c r="E103" s="4">
        <v>6</v>
      </c>
      <c r="F103" s="130">
        <v>45700.329548611109</v>
      </c>
      <c r="G103" s="4">
        <f t="shared" si="1"/>
        <v>66</v>
      </c>
    </row>
    <row r="104" spans="1:7" x14ac:dyDescent="0.2">
      <c r="A104" s="125" t="s">
        <v>14</v>
      </c>
      <c r="B104" s="126" t="s">
        <v>47</v>
      </c>
      <c r="C104" s="126" t="s">
        <v>56</v>
      </c>
      <c r="D104" s="3">
        <v>15.5</v>
      </c>
      <c r="E104" s="4">
        <v>7</v>
      </c>
      <c r="F104" s="130">
        <v>45701.638043981482</v>
      </c>
      <c r="G104" s="4">
        <f t="shared" si="1"/>
        <v>108.5</v>
      </c>
    </row>
    <row r="105" spans="1:7" x14ac:dyDescent="0.2">
      <c r="A105" s="125" t="s">
        <v>16</v>
      </c>
      <c r="B105" s="126" t="s">
        <v>47</v>
      </c>
      <c r="C105" s="126" t="s">
        <v>56</v>
      </c>
      <c r="D105" s="3">
        <v>16</v>
      </c>
      <c r="E105" s="4">
        <v>8</v>
      </c>
      <c r="F105" s="130">
        <v>45702.421458333331</v>
      </c>
      <c r="G105" s="4">
        <f t="shared" si="1"/>
        <v>128</v>
      </c>
    </row>
    <row r="106" spans="1:7" x14ac:dyDescent="0.2">
      <c r="A106" s="125" t="s">
        <v>19</v>
      </c>
      <c r="B106" s="126" t="s">
        <v>47</v>
      </c>
      <c r="C106" s="126" t="s">
        <v>56</v>
      </c>
      <c r="D106" s="3">
        <v>14</v>
      </c>
      <c r="E106" s="4">
        <v>9</v>
      </c>
      <c r="F106" s="130">
        <v>45703.727337962962</v>
      </c>
      <c r="G106" s="4">
        <f t="shared" si="1"/>
        <v>126</v>
      </c>
    </row>
    <row r="107" spans="1:7" x14ac:dyDescent="0.2">
      <c r="A107" s="125" t="s">
        <v>21</v>
      </c>
      <c r="B107" s="126" t="s">
        <v>47</v>
      </c>
      <c r="C107" s="126" t="s">
        <v>56</v>
      </c>
      <c r="D107" s="3">
        <v>12.5</v>
      </c>
      <c r="E107" s="4">
        <v>10</v>
      </c>
      <c r="F107" s="130">
        <v>45704.527997685182</v>
      </c>
      <c r="G107" s="4">
        <f t="shared" si="1"/>
        <v>125</v>
      </c>
    </row>
    <row r="108" spans="1:7" x14ac:dyDescent="0.2">
      <c r="A108" s="125" t="s">
        <v>24</v>
      </c>
      <c r="B108" s="126" t="s">
        <v>47</v>
      </c>
      <c r="C108" s="126" t="s">
        <v>56</v>
      </c>
      <c r="D108" s="3">
        <v>11</v>
      </c>
      <c r="E108" s="4">
        <v>11</v>
      </c>
      <c r="F108" s="130">
        <v>45705.372083333335</v>
      </c>
      <c r="G108" s="4">
        <f t="shared" si="1"/>
        <v>121</v>
      </c>
    </row>
    <row r="109" spans="1:7" x14ac:dyDescent="0.2">
      <c r="A109" s="125" t="s">
        <v>26</v>
      </c>
      <c r="B109" s="126" t="s">
        <v>47</v>
      </c>
      <c r="C109" s="126" t="s">
        <v>56</v>
      </c>
      <c r="D109" s="3">
        <v>13.5</v>
      </c>
      <c r="E109" s="4">
        <v>12</v>
      </c>
      <c r="F109" s="130">
        <v>45706.674733796295</v>
      </c>
      <c r="G109" s="4">
        <f t="shared" si="1"/>
        <v>162</v>
      </c>
    </row>
    <row r="110" spans="1:7" x14ac:dyDescent="0.2">
      <c r="A110" s="125" t="s">
        <v>29</v>
      </c>
      <c r="B110" s="126" t="s">
        <v>47</v>
      </c>
      <c r="C110" s="126" t="s">
        <v>56</v>
      </c>
      <c r="D110" s="3">
        <v>14.5</v>
      </c>
      <c r="E110" s="4">
        <v>1</v>
      </c>
      <c r="F110" s="130">
        <v>45707.475613425922</v>
      </c>
      <c r="G110" s="4">
        <f t="shared" si="1"/>
        <v>14.5</v>
      </c>
    </row>
    <row r="111" spans="1:7" x14ac:dyDescent="0.2">
      <c r="A111" s="125" t="s">
        <v>31</v>
      </c>
      <c r="B111" s="126" t="s">
        <v>47</v>
      </c>
      <c r="C111" s="126" t="s">
        <v>56</v>
      </c>
      <c r="D111" s="3">
        <v>16</v>
      </c>
      <c r="E111" s="4">
        <v>2</v>
      </c>
      <c r="F111" s="130">
        <v>45708.607708333337</v>
      </c>
      <c r="G111" s="4">
        <f t="shared" si="1"/>
        <v>32</v>
      </c>
    </row>
    <row r="112" spans="1:7" x14ac:dyDescent="0.2">
      <c r="A112" s="125" t="s">
        <v>5</v>
      </c>
      <c r="B112" s="126" t="s">
        <v>47</v>
      </c>
      <c r="C112" s="126" t="s">
        <v>57</v>
      </c>
      <c r="D112" s="3">
        <v>11</v>
      </c>
      <c r="E112" s="4">
        <v>3</v>
      </c>
      <c r="F112" s="130">
        <v>45709.415451388886</v>
      </c>
      <c r="G112" s="4">
        <f t="shared" si="1"/>
        <v>33</v>
      </c>
    </row>
    <row r="113" spans="1:7" x14ac:dyDescent="0.2">
      <c r="A113" s="125" t="s">
        <v>9</v>
      </c>
      <c r="B113" s="126" t="s">
        <v>47</v>
      </c>
      <c r="C113" s="126" t="s">
        <v>57</v>
      </c>
      <c r="D113" s="3">
        <v>13.5</v>
      </c>
      <c r="E113" s="4">
        <v>4</v>
      </c>
      <c r="F113" s="130">
        <v>45710.550092592595</v>
      </c>
      <c r="G113" s="4">
        <f t="shared" si="1"/>
        <v>54</v>
      </c>
    </row>
    <row r="114" spans="1:7" x14ac:dyDescent="0.2">
      <c r="A114" s="125" t="s">
        <v>11</v>
      </c>
      <c r="B114" s="126" t="s">
        <v>47</v>
      </c>
      <c r="C114" s="126" t="s">
        <v>57</v>
      </c>
      <c r="D114" s="3">
        <v>12</v>
      </c>
      <c r="E114" s="4">
        <v>5</v>
      </c>
      <c r="F114" s="130">
        <v>45711.310787037037</v>
      </c>
      <c r="G114" s="4">
        <f t="shared" si="1"/>
        <v>60</v>
      </c>
    </row>
    <row r="115" spans="1:7" x14ac:dyDescent="0.2">
      <c r="A115" s="125" t="s">
        <v>14</v>
      </c>
      <c r="B115" s="126" t="s">
        <v>47</v>
      </c>
      <c r="C115" s="126" t="s">
        <v>57</v>
      </c>
      <c r="D115" s="3">
        <v>10</v>
      </c>
      <c r="E115" s="4">
        <v>6</v>
      </c>
      <c r="F115" s="130">
        <v>45712.656134259261</v>
      </c>
      <c r="G115" s="4">
        <f t="shared" si="1"/>
        <v>60</v>
      </c>
    </row>
    <row r="116" spans="1:7" x14ac:dyDescent="0.2">
      <c r="A116" s="125" t="s">
        <v>16</v>
      </c>
      <c r="B116" s="126" t="s">
        <v>47</v>
      </c>
      <c r="C116" s="126" t="s">
        <v>57</v>
      </c>
      <c r="D116" s="3">
        <v>14.5</v>
      </c>
      <c r="E116" s="4">
        <v>7</v>
      </c>
      <c r="F116" s="130">
        <v>45713.439826388887</v>
      </c>
      <c r="G116" s="4">
        <f t="shared" si="1"/>
        <v>101.5</v>
      </c>
    </row>
    <row r="117" spans="1:7" x14ac:dyDescent="0.2">
      <c r="A117" s="125" t="s">
        <v>19</v>
      </c>
      <c r="B117" s="126" t="s">
        <v>47</v>
      </c>
      <c r="C117" s="126" t="s">
        <v>57</v>
      </c>
      <c r="D117" s="3">
        <v>10.5</v>
      </c>
      <c r="E117" s="4">
        <v>8</v>
      </c>
      <c r="F117" s="130">
        <v>45714.66815972222</v>
      </c>
      <c r="G117" s="4">
        <f t="shared" si="1"/>
        <v>84</v>
      </c>
    </row>
    <row r="118" spans="1:7" x14ac:dyDescent="0.2">
      <c r="A118" s="125" t="s">
        <v>21</v>
      </c>
      <c r="B118" s="126" t="s">
        <v>47</v>
      </c>
      <c r="C118" s="126" t="s">
        <v>57</v>
      </c>
      <c r="D118" s="3">
        <v>15</v>
      </c>
      <c r="E118" s="4">
        <v>9</v>
      </c>
      <c r="F118" s="130">
        <v>45715.493472222224</v>
      </c>
      <c r="G118" s="4">
        <f t="shared" si="1"/>
        <v>135</v>
      </c>
    </row>
    <row r="119" spans="1:7" x14ac:dyDescent="0.2">
      <c r="A119" s="125" t="s">
        <v>24</v>
      </c>
      <c r="B119" s="126" t="s">
        <v>47</v>
      </c>
      <c r="C119" s="126" t="s">
        <v>57</v>
      </c>
      <c r="D119" s="3">
        <v>14.5</v>
      </c>
      <c r="E119" s="4">
        <v>10</v>
      </c>
      <c r="F119" s="130">
        <v>45716.557847222219</v>
      </c>
      <c r="G119" s="4">
        <f t="shared" si="1"/>
        <v>145</v>
      </c>
    </row>
    <row r="120" spans="1:7" x14ac:dyDescent="0.2">
      <c r="A120" s="125" t="s">
        <v>26</v>
      </c>
      <c r="B120" s="126" t="s">
        <v>47</v>
      </c>
      <c r="C120" s="126" t="s">
        <v>57</v>
      </c>
      <c r="D120" s="3">
        <v>14</v>
      </c>
      <c r="E120" s="4">
        <v>11</v>
      </c>
      <c r="F120" s="130">
        <v>45726.378668981481</v>
      </c>
      <c r="G120" s="4">
        <f t="shared" si="1"/>
        <v>154</v>
      </c>
    </row>
    <row r="121" spans="1:7" x14ac:dyDescent="0.2">
      <c r="A121" s="125" t="s">
        <v>29</v>
      </c>
      <c r="B121" s="126" t="s">
        <v>47</v>
      </c>
      <c r="C121" s="126" t="s">
        <v>57</v>
      </c>
      <c r="D121" s="3">
        <v>12.5</v>
      </c>
      <c r="E121" s="4">
        <v>12</v>
      </c>
      <c r="F121" s="130">
        <v>45727.561631944445</v>
      </c>
      <c r="G121" s="4">
        <f t="shared" si="1"/>
        <v>150</v>
      </c>
    </row>
    <row r="122" spans="1:7" x14ac:dyDescent="0.2">
      <c r="A122" s="125" t="s">
        <v>31</v>
      </c>
      <c r="B122" s="126" t="s">
        <v>47</v>
      </c>
      <c r="C122" s="126" t="s">
        <v>57</v>
      </c>
      <c r="D122" s="3">
        <v>14.5</v>
      </c>
      <c r="E122" s="4">
        <v>1</v>
      </c>
      <c r="F122" s="130">
        <v>45728.327418981484</v>
      </c>
      <c r="G122" s="4">
        <f t="shared" si="1"/>
        <v>14.5</v>
      </c>
    </row>
    <row r="123" spans="1:7" x14ac:dyDescent="0.2">
      <c r="A123" s="125" t="s">
        <v>5</v>
      </c>
      <c r="B123" s="126" t="s">
        <v>47</v>
      </c>
      <c r="C123" s="126" t="s">
        <v>58</v>
      </c>
      <c r="D123" s="3">
        <v>13.5</v>
      </c>
      <c r="E123" s="4">
        <v>2</v>
      </c>
      <c r="F123" s="130">
        <v>45729.63858796296</v>
      </c>
      <c r="G123" s="4">
        <f t="shared" si="1"/>
        <v>27</v>
      </c>
    </row>
    <row r="124" spans="1:7" x14ac:dyDescent="0.2">
      <c r="A124" s="125" t="s">
        <v>9</v>
      </c>
      <c r="B124" s="126" t="s">
        <v>47</v>
      </c>
      <c r="C124" s="126" t="s">
        <v>58</v>
      </c>
      <c r="D124" s="3">
        <v>11</v>
      </c>
      <c r="E124" s="4">
        <v>3</v>
      </c>
      <c r="F124" s="130">
        <v>45730.446770833332</v>
      </c>
      <c r="G124" s="4">
        <f t="shared" si="1"/>
        <v>33</v>
      </c>
    </row>
    <row r="125" spans="1:7" x14ac:dyDescent="0.2">
      <c r="A125" s="125" t="s">
        <v>11</v>
      </c>
      <c r="B125" s="126" t="s">
        <v>47</v>
      </c>
      <c r="C125" s="126" t="s">
        <v>58</v>
      </c>
      <c r="D125" s="3">
        <v>12.5</v>
      </c>
      <c r="E125" s="4">
        <v>4</v>
      </c>
      <c r="F125" s="130">
        <v>45731.788981481484</v>
      </c>
      <c r="G125" s="4">
        <f t="shared" si="1"/>
        <v>50</v>
      </c>
    </row>
    <row r="126" spans="1:7" x14ac:dyDescent="0.2">
      <c r="A126" s="125" t="s">
        <v>14</v>
      </c>
      <c r="B126" s="126" t="s">
        <v>47</v>
      </c>
      <c r="C126" s="126" t="s">
        <v>58</v>
      </c>
      <c r="D126" s="3">
        <v>16</v>
      </c>
      <c r="E126" s="4">
        <v>5</v>
      </c>
      <c r="F126" s="130">
        <v>45732.522187499999</v>
      </c>
      <c r="G126" s="4">
        <f t="shared" si="1"/>
        <v>80</v>
      </c>
    </row>
    <row r="127" spans="1:7" x14ac:dyDescent="0.2">
      <c r="A127" s="125" t="s">
        <v>16</v>
      </c>
      <c r="B127" s="126" t="s">
        <v>47</v>
      </c>
      <c r="C127" s="126" t="s">
        <v>58</v>
      </c>
      <c r="D127" s="3">
        <v>13</v>
      </c>
      <c r="E127" s="4">
        <v>6</v>
      </c>
      <c r="F127" s="130">
        <v>45733.344270833331</v>
      </c>
      <c r="G127" s="4">
        <f t="shared" si="1"/>
        <v>78</v>
      </c>
    </row>
    <row r="128" spans="1:7" x14ac:dyDescent="0.2">
      <c r="A128" s="125" t="s">
        <v>19</v>
      </c>
      <c r="B128" s="126" t="s">
        <v>47</v>
      </c>
      <c r="C128" s="126" t="s">
        <v>58</v>
      </c>
      <c r="D128" s="3">
        <v>16.5</v>
      </c>
      <c r="E128" s="4">
        <v>7</v>
      </c>
      <c r="F128" s="130">
        <v>45734.685798611114</v>
      </c>
      <c r="G128" s="4">
        <f t="shared" si="1"/>
        <v>115.5</v>
      </c>
    </row>
    <row r="129" spans="1:7" x14ac:dyDescent="0.2">
      <c r="A129" s="125" t="s">
        <v>21</v>
      </c>
      <c r="B129" s="126" t="s">
        <v>47</v>
      </c>
      <c r="C129" s="126" t="s">
        <v>58</v>
      </c>
      <c r="D129" s="3">
        <v>13</v>
      </c>
      <c r="E129" s="4">
        <v>8</v>
      </c>
      <c r="F129" s="130">
        <v>45735.492581018516</v>
      </c>
      <c r="G129" s="4">
        <f t="shared" si="1"/>
        <v>104</v>
      </c>
    </row>
    <row r="130" spans="1:7" x14ac:dyDescent="0.2">
      <c r="A130" s="125" t="s">
        <v>24</v>
      </c>
      <c r="B130" s="126" t="s">
        <v>47</v>
      </c>
      <c r="C130" s="126" t="s">
        <v>58</v>
      </c>
      <c r="D130" s="3">
        <v>15.5</v>
      </c>
      <c r="E130" s="4">
        <v>9</v>
      </c>
      <c r="F130" s="130">
        <v>45736.608587962961</v>
      </c>
      <c r="G130" s="4">
        <f t="shared" si="1"/>
        <v>139.5</v>
      </c>
    </row>
    <row r="131" spans="1:7" x14ac:dyDescent="0.2">
      <c r="A131" s="125" t="s">
        <v>26</v>
      </c>
      <c r="B131" s="126" t="s">
        <v>47</v>
      </c>
      <c r="C131" s="126" t="s">
        <v>58</v>
      </c>
      <c r="D131" s="3">
        <v>12.5</v>
      </c>
      <c r="E131" s="4">
        <v>10</v>
      </c>
      <c r="F131" s="130">
        <v>45737.391481481478</v>
      </c>
      <c r="G131" s="4">
        <f t="shared" ref="G131:G155" si="2">D131*E131</f>
        <v>125</v>
      </c>
    </row>
    <row r="132" spans="1:7" x14ac:dyDescent="0.2">
      <c r="A132" s="125" t="s">
        <v>29</v>
      </c>
      <c r="B132" s="126" t="s">
        <v>47</v>
      </c>
      <c r="C132" s="126" t="s">
        <v>58</v>
      </c>
      <c r="D132" s="3">
        <v>16</v>
      </c>
      <c r="E132" s="4">
        <v>11</v>
      </c>
      <c r="F132" s="130">
        <v>45738.662627314814</v>
      </c>
      <c r="G132" s="4">
        <f t="shared" si="2"/>
        <v>176</v>
      </c>
    </row>
    <row r="133" spans="1:7" x14ac:dyDescent="0.2">
      <c r="A133" s="125" t="s">
        <v>31</v>
      </c>
      <c r="B133" s="126" t="s">
        <v>47</v>
      </c>
      <c r="C133" s="126" t="s">
        <v>58</v>
      </c>
      <c r="D133" s="3">
        <v>13.5</v>
      </c>
      <c r="E133" s="4">
        <v>12</v>
      </c>
      <c r="F133" s="130">
        <v>45739.421168981484</v>
      </c>
      <c r="G133" s="4">
        <f t="shared" si="2"/>
        <v>162</v>
      </c>
    </row>
    <row r="134" spans="1:7" x14ac:dyDescent="0.2">
      <c r="A134" s="123" t="s">
        <v>9</v>
      </c>
      <c r="B134" s="124" t="s">
        <v>45</v>
      </c>
      <c r="C134" s="124" t="s">
        <v>59</v>
      </c>
      <c r="D134" s="3">
        <v>16</v>
      </c>
      <c r="E134" s="4">
        <v>1</v>
      </c>
      <c r="F134" s="130">
        <v>45740.765439814815</v>
      </c>
      <c r="G134" s="4">
        <f t="shared" si="2"/>
        <v>16</v>
      </c>
    </row>
    <row r="135" spans="1:7" x14ac:dyDescent="0.2">
      <c r="A135" s="123" t="s">
        <v>11</v>
      </c>
      <c r="B135" s="124" t="s">
        <v>45</v>
      </c>
      <c r="C135" s="124" t="s">
        <v>59</v>
      </c>
      <c r="D135" s="3">
        <v>18</v>
      </c>
      <c r="E135" s="4">
        <v>2</v>
      </c>
      <c r="F135" s="130">
        <v>45741.313831018517</v>
      </c>
      <c r="G135" s="4">
        <f t="shared" si="2"/>
        <v>36</v>
      </c>
    </row>
    <row r="136" spans="1:7" x14ac:dyDescent="0.2">
      <c r="A136" s="123" t="s">
        <v>14</v>
      </c>
      <c r="B136" s="124" t="s">
        <v>45</v>
      </c>
      <c r="C136" s="124" t="s">
        <v>59</v>
      </c>
      <c r="D136" s="3">
        <v>15.5</v>
      </c>
      <c r="E136" s="4">
        <v>3</v>
      </c>
      <c r="F136" s="130">
        <v>45742.551944444444</v>
      </c>
      <c r="G136" s="4">
        <f t="shared" si="2"/>
        <v>46.5</v>
      </c>
    </row>
    <row r="137" spans="1:7" x14ac:dyDescent="0.2">
      <c r="A137" s="123" t="s">
        <v>16</v>
      </c>
      <c r="B137" s="124" t="s">
        <v>45</v>
      </c>
      <c r="C137" s="124" t="s">
        <v>59</v>
      </c>
      <c r="D137" s="3">
        <v>20</v>
      </c>
      <c r="E137" s="4">
        <v>4</v>
      </c>
      <c r="F137" s="130">
        <v>45743.708078703705</v>
      </c>
      <c r="G137" s="4">
        <f t="shared" si="2"/>
        <v>80</v>
      </c>
    </row>
    <row r="138" spans="1:7" x14ac:dyDescent="0.2">
      <c r="A138" s="123" t="s">
        <v>19</v>
      </c>
      <c r="B138" s="124" t="s">
        <v>45</v>
      </c>
      <c r="C138" s="124" t="s">
        <v>59</v>
      </c>
      <c r="D138" s="3">
        <v>14.5</v>
      </c>
      <c r="E138" s="4">
        <v>5</v>
      </c>
      <c r="F138" s="130">
        <v>45744.4530787037</v>
      </c>
      <c r="G138" s="4">
        <f t="shared" si="2"/>
        <v>72.5</v>
      </c>
    </row>
    <row r="139" spans="1:7" x14ac:dyDescent="0.2">
      <c r="A139" s="123" t="s">
        <v>21</v>
      </c>
      <c r="B139" s="124" t="s">
        <v>45</v>
      </c>
      <c r="C139" s="124" t="s">
        <v>59</v>
      </c>
      <c r="D139" s="3">
        <v>17</v>
      </c>
      <c r="E139" s="4">
        <v>6</v>
      </c>
      <c r="F139" s="130">
        <v>45745.589085648149</v>
      </c>
      <c r="G139" s="4">
        <f t="shared" si="2"/>
        <v>102</v>
      </c>
    </row>
    <row r="140" spans="1:7" x14ac:dyDescent="0.2">
      <c r="A140" s="123" t="s">
        <v>24</v>
      </c>
      <c r="B140" s="124" t="s">
        <v>45</v>
      </c>
      <c r="C140" s="124" t="s">
        <v>59</v>
      </c>
      <c r="D140" s="3">
        <v>15.5</v>
      </c>
      <c r="E140" s="4">
        <v>7</v>
      </c>
      <c r="F140" s="130">
        <v>45746.770196759258</v>
      </c>
      <c r="G140" s="4">
        <f t="shared" si="2"/>
        <v>108.5</v>
      </c>
    </row>
    <row r="141" spans="1:7" x14ac:dyDescent="0.2">
      <c r="A141" s="123" t="s">
        <v>26</v>
      </c>
      <c r="B141" s="124" t="s">
        <v>45</v>
      </c>
      <c r="C141" s="124" t="s">
        <v>59</v>
      </c>
      <c r="D141" s="3">
        <v>11.5</v>
      </c>
      <c r="E141" s="4">
        <v>8</v>
      </c>
      <c r="F141" s="130">
        <v>45747.469247685185</v>
      </c>
      <c r="G141" s="4">
        <f t="shared" si="2"/>
        <v>92</v>
      </c>
    </row>
    <row r="142" spans="1:7" x14ac:dyDescent="0.2">
      <c r="A142" s="123" t="s">
        <v>29</v>
      </c>
      <c r="B142" s="124" t="s">
        <v>45</v>
      </c>
      <c r="C142" s="124" t="s">
        <v>59</v>
      </c>
      <c r="D142" s="3">
        <v>18</v>
      </c>
      <c r="E142" s="4">
        <v>9</v>
      </c>
      <c r="F142" s="130">
        <v>45748.322210648148</v>
      </c>
      <c r="G142" s="4">
        <f t="shared" si="2"/>
        <v>162</v>
      </c>
    </row>
    <row r="143" spans="1:7" x14ac:dyDescent="0.2">
      <c r="A143" s="123" t="s">
        <v>31</v>
      </c>
      <c r="B143" s="124" t="s">
        <v>45</v>
      </c>
      <c r="C143" s="124" t="s">
        <v>59</v>
      </c>
      <c r="D143" s="3">
        <v>17.5</v>
      </c>
      <c r="E143" s="4">
        <v>10</v>
      </c>
      <c r="F143" s="130">
        <v>45749.566990740743</v>
      </c>
      <c r="G143" s="4">
        <f t="shared" si="2"/>
        <v>175</v>
      </c>
    </row>
    <row r="144" spans="1:7" x14ac:dyDescent="0.2">
      <c r="A144" s="123" t="s">
        <v>5</v>
      </c>
      <c r="B144" s="124" t="s">
        <v>45</v>
      </c>
      <c r="C144" s="124" t="s">
        <v>59</v>
      </c>
      <c r="D144" s="3">
        <v>14.5</v>
      </c>
      <c r="E144" s="4">
        <v>11</v>
      </c>
      <c r="F144" s="130">
        <v>45750.43209490741</v>
      </c>
      <c r="G144" s="4">
        <f t="shared" si="2"/>
        <v>159.5</v>
      </c>
    </row>
    <row r="145" spans="1:7" x14ac:dyDescent="0.2">
      <c r="A145" s="123" t="s">
        <v>5</v>
      </c>
      <c r="B145" s="124" t="s">
        <v>45</v>
      </c>
      <c r="C145" s="124" t="s">
        <v>60</v>
      </c>
      <c r="D145" s="3">
        <v>10.5</v>
      </c>
      <c r="E145" s="4">
        <v>12</v>
      </c>
      <c r="F145" s="130">
        <v>45751.65898148148</v>
      </c>
      <c r="G145" s="4">
        <f t="shared" si="2"/>
        <v>126</v>
      </c>
    </row>
    <row r="146" spans="1:7" x14ac:dyDescent="0.2">
      <c r="A146" s="123" t="s">
        <v>9</v>
      </c>
      <c r="B146" s="124" t="s">
        <v>45</v>
      </c>
      <c r="C146" s="124" t="s">
        <v>60</v>
      </c>
      <c r="D146" s="3">
        <v>9</v>
      </c>
      <c r="E146" s="4">
        <v>1</v>
      </c>
      <c r="F146" s="130">
        <v>45752.505324074074</v>
      </c>
      <c r="G146" s="4">
        <f t="shared" si="2"/>
        <v>9</v>
      </c>
    </row>
    <row r="147" spans="1:7" x14ac:dyDescent="0.2">
      <c r="A147" s="123" t="s">
        <v>11</v>
      </c>
      <c r="B147" s="124" t="s">
        <v>45</v>
      </c>
      <c r="C147" s="124" t="s">
        <v>60</v>
      </c>
      <c r="D147" s="3">
        <v>11</v>
      </c>
      <c r="E147" s="4">
        <v>2</v>
      </c>
      <c r="F147" s="130">
        <v>45753.733622685184</v>
      </c>
      <c r="G147" s="4">
        <f t="shared" si="2"/>
        <v>22</v>
      </c>
    </row>
    <row r="148" spans="1:7" x14ac:dyDescent="0.2">
      <c r="A148" s="123" t="s">
        <v>14</v>
      </c>
      <c r="B148" s="124" t="s">
        <v>45</v>
      </c>
      <c r="C148" s="124" t="s">
        <v>60</v>
      </c>
      <c r="D148" s="3">
        <v>13</v>
      </c>
      <c r="E148" s="4">
        <v>3</v>
      </c>
      <c r="F148" s="130">
        <v>45754.348090277781</v>
      </c>
      <c r="G148" s="4">
        <f t="shared" si="2"/>
        <v>39</v>
      </c>
    </row>
    <row r="149" spans="1:7" x14ac:dyDescent="0.2">
      <c r="A149" s="123" t="s">
        <v>16</v>
      </c>
      <c r="B149" s="124" t="s">
        <v>45</v>
      </c>
      <c r="C149" s="124" t="s">
        <v>60</v>
      </c>
      <c r="D149" s="3">
        <v>14</v>
      </c>
      <c r="E149" s="4">
        <v>4</v>
      </c>
      <c r="F149" s="130">
        <v>45755.62164351852</v>
      </c>
      <c r="G149" s="4">
        <f t="shared" si="2"/>
        <v>56</v>
      </c>
    </row>
    <row r="150" spans="1:7" x14ac:dyDescent="0.2">
      <c r="A150" s="123" t="s">
        <v>19</v>
      </c>
      <c r="B150" s="124" t="s">
        <v>45</v>
      </c>
      <c r="C150" s="124" t="s">
        <v>60</v>
      </c>
      <c r="D150" s="3">
        <v>10</v>
      </c>
      <c r="E150" s="4">
        <v>5</v>
      </c>
      <c r="F150" s="130">
        <v>45756.429594907408</v>
      </c>
      <c r="G150" s="4">
        <f t="shared" si="2"/>
        <v>50</v>
      </c>
    </row>
    <row r="151" spans="1:7" x14ac:dyDescent="0.2">
      <c r="A151" s="123" t="s">
        <v>21</v>
      </c>
      <c r="B151" s="124" t="s">
        <v>45</v>
      </c>
      <c r="C151" s="124" t="s">
        <v>60</v>
      </c>
      <c r="D151" s="3">
        <v>12</v>
      </c>
      <c r="E151" s="4">
        <v>6</v>
      </c>
      <c r="F151" s="130">
        <v>45757.697824074072</v>
      </c>
      <c r="G151" s="4">
        <f t="shared" si="2"/>
        <v>72</v>
      </c>
    </row>
    <row r="152" spans="1:7" x14ac:dyDescent="0.2">
      <c r="A152" s="123" t="s">
        <v>24</v>
      </c>
      <c r="B152" s="124" t="s">
        <v>45</v>
      </c>
      <c r="C152" s="124" t="s">
        <v>60</v>
      </c>
      <c r="D152" s="3">
        <v>15</v>
      </c>
      <c r="E152" s="4">
        <v>7</v>
      </c>
      <c r="F152" s="130">
        <v>45758.312557870369</v>
      </c>
      <c r="G152" s="4">
        <f t="shared" si="2"/>
        <v>105</v>
      </c>
    </row>
    <row r="153" spans="1:7" x14ac:dyDescent="0.2">
      <c r="A153" s="123" t="s">
        <v>26</v>
      </c>
      <c r="B153" s="124" t="s">
        <v>45</v>
      </c>
      <c r="C153" s="124" t="s">
        <v>60</v>
      </c>
      <c r="D153" s="3">
        <v>16.5</v>
      </c>
      <c r="E153" s="4">
        <v>8</v>
      </c>
      <c r="F153" s="130">
        <v>45759.537060185183</v>
      </c>
      <c r="G153" s="4">
        <f t="shared" si="2"/>
        <v>132</v>
      </c>
    </row>
    <row r="154" spans="1:7" x14ac:dyDescent="0.2">
      <c r="A154" s="123" t="s">
        <v>29</v>
      </c>
      <c r="B154" s="124" t="s">
        <v>45</v>
      </c>
      <c r="C154" s="124" t="s">
        <v>60</v>
      </c>
      <c r="D154" s="3">
        <v>13</v>
      </c>
      <c r="E154" s="4">
        <v>9</v>
      </c>
      <c r="F154" s="130">
        <v>45760.756793981483</v>
      </c>
      <c r="G154" s="4">
        <f t="shared" si="2"/>
        <v>117</v>
      </c>
    </row>
    <row r="155" spans="1:7" x14ac:dyDescent="0.2">
      <c r="A155" s="123" t="s">
        <v>31</v>
      </c>
      <c r="B155" s="124" t="s">
        <v>45</v>
      </c>
      <c r="C155" s="124" t="s">
        <v>60</v>
      </c>
      <c r="D155" s="3">
        <v>14.5</v>
      </c>
      <c r="E155" s="4">
        <v>10</v>
      </c>
      <c r="F155" s="130">
        <v>45761.569768518515</v>
      </c>
      <c r="G155" s="4">
        <f t="shared" si="2"/>
        <v>145</v>
      </c>
    </row>
    <row r="156" spans="1:7" x14ac:dyDescent="0.2">
      <c r="A156" s="4" t="s">
        <v>34</v>
      </c>
      <c r="B156" s="4" t="s">
        <v>47</v>
      </c>
      <c r="C156" s="4" t="s">
        <v>61</v>
      </c>
      <c r="D156" s="4">
        <v>10</v>
      </c>
      <c r="E156" s="4">
        <v>8</v>
      </c>
      <c r="F156" s="130">
        <v>45762.383738425924</v>
      </c>
      <c r="G156" s="4">
        <v>80</v>
      </c>
    </row>
    <row r="157" spans="1:7" x14ac:dyDescent="0.2">
      <c r="A157" s="4" t="s">
        <v>5</v>
      </c>
      <c r="B157" s="4" t="s">
        <v>47</v>
      </c>
      <c r="C157" s="4" t="s">
        <v>53</v>
      </c>
      <c r="D157" s="4">
        <v>10</v>
      </c>
      <c r="E157" s="4">
        <v>4</v>
      </c>
      <c r="F157" s="130">
        <v>45644.506354166668</v>
      </c>
      <c r="G157" s="4">
        <v>40</v>
      </c>
    </row>
  </sheetData>
  <sortState xmlns:xlrd2="http://schemas.microsoft.com/office/spreadsheetml/2017/richdata2" ref="A2:E155">
    <sortCondition ref="C2:C155"/>
  </sortState>
  <phoneticPr fontId="8" type="noConversion"/>
  <conditionalFormatting sqref="B1:B155">
    <cfRule type="cellIs" dxfId="8" priority="1" operator="equal">
      <formula>"Semestre 2"</formula>
    </cfRule>
    <cfRule type="cellIs" dxfId="7" priority="2" operator="equal">
      <formula>"Semestre 1"</formula>
    </cfRule>
  </conditionalFormatting>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D20"/>
  <sheetViews>
    <sheetView workbookViewId="0">
      <selection activeCell="D12" sqref="D12"/>
    </sheetView>
  </sheetViews>
  <sheetFormatPr baseColWidth="10" defaultColWidth="9.1640625" defaultRowHeight="15" x14ac:dyDescent="0.2"/>
  <cols>
    <col min="1" max="1" width="14.83203125" bestFit="1" customWidth="1"/>
    <col min="2" max="2" width="64.33203125" bestFit="1" customWidth="1"/>
    <col min="3" max="3" width="6.83203125" bestFit="1" customWidth="1"/>
    <col min="4" max="4" width="18.5" bestFit="1" customWidth="1"/>
  </cols>
  <sheetData>
    <row r="1" spans="1:4" ht="24" x14ac:dyDescent="0.3">
      <c r="A1" s="87" t="s">
        <v>62</v>
      </c>
      <c r="B1" s="111">
        <v>1</v>
      </c>
    </row>
    <row r="2" spans="1:4" ht="20" thickBot="1" x14ac:dyDescent="0.3">
      <c r="A2" s="103" t="s">
        <v>63</v>
      </c>
      <c r="B2" s="103" t="s">
        <v>64</v>
      </c>
      <c r="C2" s="103" t="s">
        <v>65</v>
      </c>
      <c r="D2" s="103" t="s">
        <v>66</v>
      </c>
    </row>
    <row r="3" spans="1:4" x14ac:dyDescent="0.2">
      <c r="A3" s="146" t="s">
        <v>67</v>
      </c>
      <c r="B3" s="104" t="s">
        <v>60</v>
      </c>
      <c r="C3" s="105">
        <v>15</v>
      </c>
      <c r="D3" s="106" t="s">
        <v>68</v>
      </c>
    </row>
    <row r="4" spans="1:4" x14ac:dyDescent="0.2">
      <c r="A4" s="147"/>
      <c r="B4" s="96" t="s">
        <v>46</v>
      </c>
      <c r="C4" s="88">
        <v>20</v>
      </c>
      <c r="D4" s="107" t="s">
        <v>69</v>
      </c>
    </row>
    <row r="5" spans="1:4" x14ac:dyDescent="0.2">
      <c r="A5" s="147"/>
      <c r="B5" s="96" t="s">
        <v>49</v>
      </c>
      <c r="C5" s="88">
        <v>20</v>
      </c>
      <c r="D5" s="107" t="s">
        <v>70</v>
      </c>
    </row>
    <row r="6" spans="1:4" x14ac:dyDescent="0.2">
      <c r="A6" s="147"/>
      <c r="B6" s="30" t="s">
        <v>51</v>
      </c>
      <c r="C6" s="109">
        <v>5</v>
      </c>
      <c r="D6" s="108" t="s">
        <v>71</v>
      </c>
    </row>
    <row r="7" spans="1:4" x14ac:dyDescent="0.2">
      <c r="A7" s="147"/>
      <c r="B7" s="96" t="s">
        <v>59</v>
      </c>
      <c r="C7" s="88">
        <v>30</v>
      </c>
      <c r="D7" s="107" t="s">
        <v>72</v>
      </c>
    </row>
    <row r="8" spans="1:4" ht="16" thickBot="1" x14ac:dyDescent="0.25">
      <c r="A8" s="148"/>
      <c r="B8" s="97" t="s">
        <v>73</v>
      </c>
      <c r="C8" s="89">
        <v>10</v>
      </c>
      <c r="D8" s="49" t="s">
        <v>74</v>
      </c>
    </row>
    <row r="9" spans="1:4" ht="16" x14ac:dyDescent="0.2">
      <c r="A9" s="149" t="s">
        <v>75</v>
      </c>
      <c r="B9" s="98" t="s">
        <v>76</v>
      </c>
      <c r="C9" s="90">
        <v>20</v>
      </c>
      <c r="D9" s="106" t="s">
        <v>77</v>
      </c>
    </row>
    <row r="10" spans="1:4" ht="16" x14ac:dyDescent="0.2">
      <c r="A10" s="150"/>
      <c r="B10" s="99" t="s">
        <v>78</v>
      </c>
      <c r="C10" s="91">
        <v>15</v>
      </c>
      <c r="D10" s="107" t="s">
        <v>79</v>
      </c>
    </row>
    <row r="11" spans="1:4" ht="16" x14ac:dyDescent="0.2">
      <c r="A11" s="150"/>
      <c r="B11" s="99" t="s">
        <v>80</v>
      </c>
      <c r="C11" s="91">
        <v>20</v>
      </c>
      <c r="D11" s="107" t="s">
        <v>81</v>
      </c>
    </row>
    <row r="12" spans="1:4" x14ac:dyDescent="0.2">
      <c r="A12" s="150"/>
      <c r="B12" s="30" t="s">
        <v>51</v>
      </c>
      <c r="C12" s="110">
        <v>5</v>
      </c>
      <c r="D12" s="108" t="s">
        <v>71</v>
      </c>
    </row>
    <row r="13" spans="1:4" ht="33" thickBot="1" x14ac:dyDescent="0.25">
      <c r="A13" s="151"/>
      <c r="B13" s="100" t="s">
        <v>82</v>
      </c>
      <c r="C13" s="92">
        <v>40</v>
      </c>
      <c r="D13" s="49" t="s">
        <v>83</v>
      </c>
    </row>
    <row r="14" spans="1:4" ht="16" x14ac:dyDescent="0.2">
      <c r="A14" s="152" t="s">
        <v>84</v>
      </c>
      <c r="B14" s="101" t="s">
        <v>85</v>
      </c>
      <c r="C14" s="93">
        <v>15</v>
      </c>
      <c r="D14" s="106" t="s">
        <v>86</v>
      </c>
    </row>
    <row r="15" spans="1:4" ht="16" x14ac:dyDescent="0.2">
      <c r="A15" s="153"/>
      <c r="B15" s="102" t="s">
        <v>87</v>
      </c>
      <c r="C15" s="94">
        <v>15</v>
      </c>
      <c r="D15" s="107" t="s">
        <v>88</v>
      </c>
    </row>
    <row r="16" spans="1:4" ht="16" x14ac:dyDescent="0.2">
      <c r="A16" s="153"/>
      <c r="B16" s="102" t="s">
        <v>89</v>
      </c>
      <c r="C16" s="94">
        <v>25</v>
      </c>
      <c r="D16" s="107" t="s">
        <v>90</v>
      </c>
    </row>
    <row r="17" spans="1:4" x14ac:dyDescent="0.2">
      <c r="A17" s="153"/>
      <c r="B17" s="30" t="s">
        <v>51</v>
      </c>
      <c r="C17" s="110">
        <v>5</v>
      </c>
      <c r="D17" s="108" t="s">
        <v>71</v>
      </c>
    </row>
    <row r="18" spans="1:4" ht="16" x14ac:dyDescent="0.2">
      <c r="A18" s="153"/>
      <c r="B18" s="102" t="s">
        <v>91</v>
      </c>
      <c r="C18" s="94">
        <v>15</v>
      </c>
      <c r="D18" s="107" t="s">
        <v>92</v>
      </c>
    </row>
    <row r="19" spans="1:4" ht="16" x14ac:dyDescent="0.2">
      <c r="A19" s="153"/>
      <c r="B19" s="102" t="s">
        <v>93</v>
      </c>
      <c r="C19" s="94">
        <v>10</v>
      </c>
      <c r="D19" s="107" t="s">
        <v>94</v>
      </c>
    </row>
    <row r="20" spans="1:4" ht="17" thickBot="1" x14ac:dyDescent="0.25">
      <c r="A20" s="154"/>
      <c r="B20" s="113" t="s">
        <v>95</v>
      </c>
      <c r="C20" s="95">
        <v>15</v>
      </c>
      <c r="D20" s="49" t="s">
        <v>96</v>
      </c>
    </row>
  </sheetData>
  <mergeCells count="3">
    <mergeCell ref="A3:A8"/>
    <mergeCell ref="A9:A13"/>
    <mergeCell ref="A14:A2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263DC-C3C3-40D1-9448-E924CA362FF2}">
  <sheetPr codeName="Feuil2"/>
  <dimension ref="A1:D29"/>
  <sheetViews>
    <sheetView workbookViewId="0">
      <selection activeCell="F24" sqref="F24"/>
    </sheetView>
  </sheetViews>
  <sheetFormatPr baseColWidth="10" defaultColWidth="11.5" defaultRowHeight="15" x14ac:dyDescent="0.2"/>
  <cols>
    <col min="1" max="1" width="24" bestFit="1" customWidth="1"/>
    <col min="2" max="2" width="54.1640625" bestFit="1" customWidth="1"/>
    <col min="3" max="3" width="7.33203125" bestFit="1" customWidth="1"/>
    <col min="4" max="4" width="20.5" bestFit="1" customWidth="1"/>
  </cols>
  <sheetData>
    <row r="1" spans="1:4" ht="24" x14ac:dyDescent="0.3">
      <c r="A1" s="86" t="s">
        <v>62</v>
      </c>
      <c r="B1" s="112">
        <v>2</v>
      </c>
    </row>
    <row r="2" spans="1:4" ht="20" thickBot="1" x14ac:dyDescent="0.3">
      <c r="A2" s="61" t="s">
        <v>63</v>
      </c>
      <c r="B2" s="61" t="s">
        <v>40</v>
      </c>
      <c r="C2" s="61" t="s">
        <v>97</v>
      </c>
      <c r="D2" s="61" t="s">
        <v>66</v>
      </c>
    </row>
    <row r="3" spans="1:4" ht="16" x14ac:dyDescent="0.2">
      <c r="A3" s="155" t="s">
        <v>98</v>
      </c>
      <c r="B3" s="73" t="s">
        <v>54</v>
      </c>
      <c r="C3" s="62">
        <v>10</v>
      </c>
      <c r="D3" s="106" t="s">
        <v>99</v>
      </c>
    </row>
    <row r="4" spans="1:4" ht="16" x14ac:dyDescent="0.2">
      <c r="A4" s="156"/>
      <c r="B4" s="74" t="s">
        <v>48</v>
      </c>
      <c r="C4" s="63">
        <v>15</v>
      </c>
      <c r="D4" s="107" t="s">
        <v>100</v>
      </c>
    </row>
    <row r="5" spans="1:4" ht="16" x14ac:dyDescent="0.2">
      <c r="A5" s="156"/>
      <c r="B5" s="74" t="s">
        <v>50</v>
      </c>
      <c r="C5" s="63">
        <v>15</v>
      </c>
      <c r="D5" s="107" t="s">
        <v>101</v>
      </c>
    </row>
    <row r="6" spans="1:4" ht="16" x14ac:dyDescent="0.2">
      <c r="A6" s="156"/>
      <c r="B6" s="74" t="s">
        <v>53</v>
      </c>
      <c r="C6" s="63">
        <v>15</v>
      </c>
      <c r="D6" s="107" t="s">
        <v>102</v>
      </c>
    </row>
    <row r="7" spans="1:4" ht="16" x14ac:dyDescent="0.2">
      <c r="A7" s="156"/>
      <c r="B7" s="75" t="s">
        <v>52</v>
      </c>
      <c r="C7" s="71">
        <v>5</v>
      </c>
      <c r="D7" s="108" t="s">
        <v>71</v>
      </c>
    </row>
    <row r="8" spans="1:4" ht="16" x14ac:dyDescent="0.2">
      <c r="A8" s="156"/>
      <c r="B8" s="74" t="s">
        <v>56</v>
      </c>
      <c r="C8" s="63">
        <v>10</v>
      </c>
      <c r="D8" s="107" t="s">
        <v>103</v>
      </c>
    </row>
    <row r="9" spans="1:4" ht="16" x14ac:dyDescent="0.2">
      <c r="A9" s="156"/>
      <c r="B9" s="76" t="s">
        <v>57</v>
      </c>
      <c r="C9" s="63">
        <v>5</v>
      </c>
      <c r="D9" s="107" t="s">
        <v>104</v>
      </c>
    </row>
    <row r="10" spans="1:4" ht="16" x14ac:dyDescent="0.2">
      <c r="A10" s="156"/>
      <c r="B10" s="76" t="s">
        <v>55</v>
      </c>
      <c r="C10" s="63">
        <v>20</v>
      </c>
      <c r="D10" s="107" t="s">
        <v>105</v>
      </c>
    </row>
    <row r="11" spans="1:4" ht="17" thickBot="1" x14ac:dyDescent="0.25">
      <c r="A11" s="157"/>
      <c r="B11" s="77" t="s">
        <v>58</v>
      </c>
      <c r="C11" s="64">
        <v>5</v>
      </c>
      <c r="D11" s="49" t="s">
        <v>106</v>
      </c>
    </row>
    <row r="12" spans="1:4" ht="16" x14ac:dyDescent="0.2">
      <c r="A12" s="58" t="s">
        <v>107</v>
      </c>
      <c r="B12" s="78" t="s">
        <v>108</v>
      </c>
      <c r="C12" s="65">
        <v>10</v>
      </c>
      <c r="D12" s="106" t="s">
        <v>109</v>
      </c>
    </row>
    <row r="13" spans="1:4" ht="32" x14ac:dyDescent="0.2">
      <c r="A13" s="59" t="s">
        <v>110</v>
      </c>
      <c r="B13" s="79" t="s">
        <v>61</v>
      </c>
      <c r="C13" s="66">
        <v>15</v>
      </c>
      <c r="D13" s="107" t="s">
        <v>111</v>
      </c>
    </row>
    <row r="14" spans="1:4" ht="16" x14ac:dyDescent="0.2">
      <c r="A14" s="59"/>
      <c r="B14" s="79" t="s">
        <v>112</v>
      </c>
      <c r="C14" s="66">
        <v>15</v>
      </c>
      <c r="D14" s="107" t="s">
        <v>113</v>
      </c>
    </row>
    <row r="15" spans="1:4" ht="16" x14ac:dyDescent="0.2">
      <c r="A15" s="59"/>
      <c r="B15" s="79" t="s">
        <v>114</v>
      </c>
      <c r="C15" s="66">
        <v>15</v>
      </c>
      <c r="D15" s="107" t="s">
        <v>115</v>
      </c>
    </row>
    <row r="16" spans="1:4" ht="16" x14ac:dyDescent="0.2">
      <c r="A16" s="59"/>
      <c r="B16" s="75" t="s">
        <v>52</v>
      </c>
      <c r="C16" s="72">
        <v>5</v>
      </c>
      <c r="D16" s="108" t="s">
        <v>71</v>
      </c>
    </row>
    <row r="17" spans="1:4" ht="16" x14ac:dyDescent="0.2">
      <c r="A17" s="59"/>
      <c r="B17" s="79" t="s">
        <v>116</v>
      </c>
      <c r="C17" s="66">
        <v>10</v>
      </c>
      <c r="D17" s="107" t="s">
        <v>117</v>
      </c>
    </row>
    <row r="18" spans="1:4" ht="16" x14ac:dyDescent="0.2">
      <c r="A18" s="59"/>
      <c r="B18" s="79" t="s">
        <v>118</v>
      </c>
      <c r="C18" s="66">
        <v>10</v>
      </c>
      <c r="D18" s="107" t="s">
        <v>119</v>
      </c>
    </row>
    <row r="19" spans="1:4" ht="16" x14ac:dyDescent="0.2">
      <c r="A19" s="59"/>
      <c r="B19" s="80" t="s">
        <v>57</v>
      </c>
      <c r="C19" s="66">
        <v>5</v>
      </c>
      <c r="D19" s="107" t="s">
        <v>120</v>
      </c>
    </row>
    <row r="20" spans="1:4" ht="16" x14ac:dyDescent="0.2">
      <c r="A20" s="59"/>
      <c r="B20" s="80" t="s">
        <v>55</v>
      </c>
      <c r="C20" s="66">
        <v>10</v>
      </c>
      <c r="D20" s="107" t="s">
        <v>121</v>
      </c>
    </row>
    <row r="21" spans="1:4" ht="17" thickBot="1" x14ac:dyDescent="0.25">
      <c r="A21" s="60"/>
      <c r="B21" s="81" t="s">
        <v>58</v>
      </c>
      <c r="C21" s="67">
        <v>5</v>
      </c>
      <c r="D21" s="49" t="s">
        <v>122</v>
      </c>
    </row>
    <row r="22" spans="1:4" ht="16" x14ac:dyDescent="0.2">
      <c r="A22" s="55" t="s">
        <v>123</v>
      </c>
      <c r="B22" s="82" t="s">
        <v>124</v>
      </c>
      <c r="C22" s="68">
        <v>15</v>
      </c>
      <c r="D22" s="106" t="s">
        <v>125</v>
      </c>
    </row>
    <row r="23" spans="1:4" ht="48" x14ac:dyDescent="0.2">
      <c r="A23" s="56" t="s">
        <v>126</v>
      </c>
      <c r="B23" s="83" t="s">
        <v>127</v>
      </c>
      <c r="C23" s="69">
        <v>15</v>
      </c>
      <c r="D23" s="107" t="s">
        <v>128</v>
      </c>
    </row>
    <row r="24" spans="1:4" ht="32" x14ac:dyDescent="0.2">
      <c r="A24" s="56"/>
      <c r="B24" s="83" t="s">
        <v>129</v>
      </c>
      <c r="C24" s="69">
        <v>25</v>
      </c>
      <c r="D24" s="107" t="s">
        <v>130</v>
      </c>
    </row>
    <row r="25" spans="1:4" ht="16" x14ac:dyDescent="0.2">
      <c r="A25" s="56"/>
      <c r="B25" s="75" t="s">
        <v>52</v>
      </c>
      <c r="C25" s="72">
        <v>5</v>
      </c>
      <c r="D25" s="108" t="s">
        <v>71</v>
      </c>
    </row>
    <row r="26" spans="1:4" ht="16" x14ac:dyDescent="0.2">
      <c r="A26" s="56"/>
      <c r="B26" s="83" t="s">
        <v>57</v>
      </c>
      <c r="C26" s="69">
        <v>5</v>
      </c>
      <c r="D26" s="107" t="s">
        <v>131</v>
      </c>
    </row>
    <row r="27" spans="1:4" ht="16" x14ac:dyDescent="0.2">
      <c r="A27" s="56"/>
      <c r="B27" s="83" t="s">
        <v>132</v>
      </c>
      <c r="C27" s="69">
        <v>10</v>
      </c>
      <c r="D27" s="107" t="s">
        <v>133</v>
      </c>
    </row>
    <row r="28" spans="1:4" ht="16" x14ac:dyDescent="0.2">
      <c r="A28" s="56"/>
      <c r="B28" s="84" t="s">
        <v>55</v>
      </c>
      <c r="C28" s="69">
        <v>20</v>
      </c>
      <c r="D28" s="107" t="s">
        <v>134</v>
      </c>
    </row>
    <row r="29" spans="1:4" ht="17" thickBot="1" x14ac:dyDescent="0.25">
      <c r="A29" s="57"/>
      <c r="B29" s="85" t="s">
        <v>58</v>
      </c>
      <c r="C29" s="70">
        <v>5</v>
      </c>
      <c r="D29" s="49" t="s">
        <v>135</v>
      </c>
    </row>
  </sheetData>
  <mergeCells count="1">
    <mergeCell ref="A3:A11"/>
  </mergeCell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397F3-8ACC-4B02-B699-3C68FD58502B}">
  <sheetPr codeName="Feuil3"/>
  <dimension ref="A1:N88"/>
  <sheetViews>
    <sheetView tabSelected="1" zoomScale="85" zoomScaleNormal="85" workbookViewId="0">
      <selection activeCell="O26" sqref="O26"/>
    </sheetView>
  </sheetViews>
  <sheetFormatPr baseColWidth="10" defaultColWidth="11.5" defaultRowHeight="15" x14ac:dyDescent="0.2"/>
  <cols>
    <col min="1" max="1" width="17.5" bestFit="1" customWidth="1"/>
    <col min="2" max="2" width="73" bestFit="1" customWidth="1"/>
    <col min="3" max="3" width="13.1640625" customWidth="1"/>
    <col min="6" max="6" width="17" bestFit="1" customWidth="1"/>
    <col min="7" max="7" width="25.33203125" customWidth="1"/>
    <col min="8" max="8" width="15.6640625" bestFit="1" customWidth="1"/>
    <col min="14" max="14" width="15.6640625" bestFit="1" customWidth="1"/>
  </cols>
  <sheetData>
    <row r="1" spans="1:9" ht="25" thickBot="1" x14ac:dyDescent="0.25">
      <c r="A1" s="158" t="str">
        <f xml:space="preserve"> "Rapport note de l'étudiant "  &amp; UPPER(B5) &amp; " " &amp;B6</f>
        <v>Rapport note de l'étudiant DUBOIS JEAN</v>
      </c>
      <c r="B1" s="159"/>
      <c r="C1" s="159"/>
      <c r="D1" s="159"/>
      <c r="E1" s="159"/>
    </row>
    <row r="2" spans="1:9" ht="20" x14ac:dyDescent="0.25">
      <c r="G2" s="120" t="s">
        <v>136</v>
      </c>
      <c r="H2" s="120"/>
      <c r="I2" s="120"/>
    </row>
    <row r="4" spans="1:9" ht="16" x14ac:dyDescent="0.2">
      <c r="A4" s="50" t="s">
        <v>137</v>
      </c>
      <c r="B4" s="50" t="s">
        <v>5</v>
      </c>
    </row>
    <row r="5" spans="1:9" ht="16" x14ac:dyDescent="0.2">
      <c r="A5" s="50" t="s">
        <v>138</v>
      </c>
      <c r="B5" s="54" t="str">
        <f>VLOOKUP(B4, etudiant!A:D, 2, 0)</f>
        <v>DUBOIS</v>
      </c>
    </row>
    <row r="6" spans="1:9" ht="16" x14ac:dyDescent="0.2">
      <c r="A6" s="50" t="s">
        <v>2</v>
      </c>
      <c r="B6" s="54" t="str">
        <f>VLOOKUP(B4, etudiant!A:D, 3, 0)</f>
        <v>JEAN</v>
      </c>
    </row>
    <row r="8" spans="1:9" ht="24" x14ac:dyDescent="0.3">
      <c r="A8" s="52" t="s">
        <v>139</v>
      </c>
      <c r="C8" s="114" t="str">
        <f xml:space="preserve"> "Ratio des Notes de " &amp; UPPER(B5)&amp; " " &amp; B6 &amp; " par matière pour le semestre 1"</f>
        <v>Ratio des Notes de DUBOIS JEAN par matière pour le semestre 1</v>
      </c>
    </row>
    <row r="10" spans="1:9" ht="17" thickBot="1" x14ac:dyDescent="0.25">
      <c r="A10" s="28" t="s">
        <v>140</v>
      </c>
      <c r="B10" s="28" t="s">
        <v>141</v>
      </c>
      <c r="C10" s="28" t="s">
        <v>142</v>
      </c>
      <c r="D10" s="28" t="s">
        <v>97</v>
      </c>
    </row>
    <row r="11" spans="1:9" x14ac:dyDescent="0.2">
      <c r="A11" s="29" t="s">
        <v>68</v>
      </c>
      <c r="B11" s="19" t="s">
        <v>60</v>
      </c>
      <c r="C11" s="20" cm="1">
        <f t="array" ref="C11">IFERROR(INDEX(BD_etu_notes_S1_C1!$E:$E, MATCH(1, (BD_etu_notes_S1_C1!$C:$C = rech_etu_infos!$B$4) * (BD_etu_notes_S1_C1!$B:$B = rech_etu_infos!A11), 0)), 0)</f>
        <v>10.5</v>
      </c>
      <c r="D11" s="34">
        <v>15</v>
      </c>
    </row>
    <row r="12" spans="1:9" x14ac:dyDescent="0.2">
      <c r="A12" s="30" t="s">
        <v>69</v>
      </c>
      <c r="B12" s="13" t="s">
        <v>46</v>
      </c>
      <c r="C12" s="20" cm="1">
        <f t="array" ref="C12">IFERROR(INDEX(BD_etu_notes_S1_C1!$E:$E, MATCH(1, (BD_etu_notes_S1_C1!$C:$C = rech_etu_infos!$B$4) * (BD_etu_notes_S1_C1!$B:$B = rech_etu_infos!A12), 0)), 0)</f>
        <v>11.5</v>
      </c>
      <c r="D12" s="35">
        <v>20</v>
      </c>
    </row>
    <row r="13" spans="1:9" x14ac:dyDescent="0.2">
      <c r="A13" s="30" t="s">
        <v>70</v>
      </c>
      <c r="B13" s="13" t="s">
        <v>49</v>
      </c>
      <c r="C13" s="20" cm="1">
        <f t="array" ref="C13">IFERROR(INDEX(BD_etu_notes_S1_C1!$E:$E, MATCH(1, (BD_etu_notes_S1_C1!$C:$C = rech_etu_infos!$B$4) * (BD_etu_notes_S1_C1!$B:$B = rech_etu_infos!A13), 0)), 0)</f>
        <v>12.5</v>
      </c>
      <c r="D13" s="35">
        <v>20</v>
      </c>
    </row>
    <row r="14" spans="1:9" x14ac:dyDescent="0.2">
      <c r="A14" s="30" t="s">
        <v>71</v>
      </c>
      <c r="B14" s="14" t="s">
        <v>51</v>
      </c>
      <c r="C14" s="20" cm="1">
        <f t="array" ref="C14">IFERROR(INDEX(BD_etu_notes_S1_C1!$E:$E, MATCH(1, (BD_etu_notes_S1_C1!$C:$C = rech_etu_infos!$B$4) * (BD_etu_notes_S1_C1!$B:$B = rech_etu_infos!A14), 0)), 0)</f>
        <v>13.5</v>
      </c>
      <c r="D14" s="35">
        <v>5</v>
      </c>
    </row>
    <row r="15" spans="1:9" x14ac:dyDescent="0.2">
      <c r="A15" s="30" t="s">
        <v>72</v>
      </c>
      <c r="B15" s="13" t="s">
        <v>59</v>
      </c>
      <c r="C15" s="20" cm="1">
        <f t="array" ref="C15">IFERROR(INDEX(BD_etu_notes_S1_C1!$E:$E, MATCH(1, (BD_etu_notes_S1_C1!$C:$C = rech_etu_infos!$B$4) * (BD_etu_notes_S1_C1!$B:$B = rech_etu_infos!A15), 0)), 0)</f>
        <v>14.5</v>
      </c>
      <c r="D15" s="35">
        <v>30</v>
      </c>
    </row>
    <row r="16" spans="1:9" ht="16" thickBot="1" x14ac:dyDescent="0.25">
      <c r="A16" s="30" t="s">
        <v>74</v>
      </c>
      <c r="B16" s="15" t="s">
        <v>73</v>
      </c>
      <c r="C16" s="20" cm="1">
        <f t="array" ref="C16">IFERROR(INDEX(BD_etu_notes_S1_C1!$E:$E, MATCH(1, (BD_etu_notes_S1_C1!$C:$C = rech_etu_infos!$B$4) * (BD_etu_notes_S1_C1!$B:$B = rech_etu_infos!A16), 0)), 0)</f>
        <v>0</v>
      </c>
      <c r="D16" s="36">
        <v>10</v>
      </c>
    </row>
    <row r="17" spans="1:14" ht="17" thickBot="1" x14ac:dyDescent="0.25">
      <c r="A17" s="30" t="s">
        <v>77</v>
      </c>
      <c r="B17" s="16" t="s">
        <v>76</v>
      </c>
      <c r="C17" s="12" cm="1">
        <f t="array" ref="C17">IFERROR(INDEX(BD_etu_notes_S1_C2!$E:$E, MATCH(1, (BD_etu_notes_S1_C2!$C:$C = rech_etu_infos!$B$4) * (BD_etu_notes_S1_C2!$B:$B = rech_etu_infos!A17), 0)), 0)</f>
        <v>0</v>
      </c>
      <c r="D17" s="37">
        <v>20</v>
      </c>
    </row>
    <row r="18" spans="1:14" ht="17" thickBot="1" x14ac:dyDescent="0.25">
      <c r="A18" s="30" t="s">
        <v>79</v>
      </c>
      <c r="B18" s="17" t="s">
        <v>78</v>
      </c>
      <c r="C18" s="12" cm="1">
        <f t="array" ref="C18">IFERROR(INDEX(BD_etu_notes_S1_C2!$E:$E, MATCH(1, (BD_etu_notes_S1_C2!$C:$C = rech_etu_infos!$B$4) * (BD_etu_notes_S1_C2!$B:$B = rech_etu_infos!A18), 0)), 0)</f>
        <v>0</v>
      </c>
      <c r="D18" s="38">
        <v>15</v>
      </c>
    </row>
    <row r="19" spans="1:14" ht="17" thickBot="1" x14ac:dyDescent="0.25">
      <c r="A19" s="30" t="s">
        <v>81</v>
      </c>
      <c r="B19" s="17" t="s">
        <v>80</v>
      </c>
      <c r="C19" s="12" cm="1">
        <f t="array" ref="C19">IFERROR(INDEX(BD_etu_notes_S1_C2!$E:$E, MATCH(1, (BD_etu_notes_S1_C2!$C:$C = rech_etu_infos!$B$4) * (BD_etu_notes_S1_C2!$B:$B = rech_etu_infos!A19), 0)), 0)</f>
        <v>0</v>
      </c>
      <c r="D19" s="38">
        <v>20</v>
      </c>
    </row>
    <row r="20" spans="1:14" ht="16" thickBot="1" x14ac:dyDescent="0.25">
      <c r="A20" s="30" t="s">
        <v>71</v>
      </c>
      <c r="B20" s="14" t="s">
        <v>51</v>
      </c>
      <c r="C20" s="12" cm="1">
        <f t="array" ref="C20">IFERROR(INDEX(BD_etu_notes_S1_C2!$E:$E, MATCH(1, (BD_etu_notes_S1_C2!$C:$C = rech_etu_infos!$B$4) * (BD_etu_notes_S1_C2!$B:$B = rech_etu_infos!A20), 0)), 0)</f>
        <v>13.5</v>
      </c>
      <c r="D20" s="38">
        <v>5</v>
      </c>
    </row>
    <row r="21" spans="1:14" ht="33" thickBot="1" x14ac:dyDescent="0.25">
      <c r="A21" s="30" t="s">
        <v>83</v>
      </c>
      <c r="B21" s="18" t="s">
        <v>82</v>
      </c>
      <c r="C21" s="12" cm="1">
        <f t="array" ref="C21">IFERROR(INDEX(BD_etu_notes_S1_C2!$E:$E, MATCH(1, (BD_etu_notes_S1_C2!$C:$C = rech_etu_infos!$B$4) * (BD_etu_notes_S1_C2!$B:$B = rech_etu_infos!A21), 0)), 0)</f>
        <v>0</v>
      </c>
      <c r="D21" s="39">
        <v>40</v>
      </c>
    </row>
    <row r="22" spans="1:14" ht="17" thickBot="1" x14ac:dyDescent="0.25">
      <c r="A22" s="30" t="s">
        <v>86</v>
      </c>
      <c r="B22" s="16" t="s">
        <v>85</v>
      </c>
      <c r="C22" s="12" cm="1">
        <f t="array" ref="C22">IFERROR(INDEX(BD_etu_notes_S1_C3!$E:$E, MATCH(1, (BD_etu_notes_S1_C3!$C:$C = rech_etu_infos!$B$4) * (BD_etu_notes_S1_C3!$B:$B = rech_etu_infos!A22), 0)), 0)</f>
        <v>0</v>
      </c>
      <c r="D22" s="37">
        <v>15</v>
      </c>
    </row>
    <row r="23" spans="1:14" ht="17" thickBot="1" x14ac:dyDescent="0.25">
      <c r="A23" s="30" t="s">
        <v>88</v>
      </c>
      <c r="B23" s="17" t="s">
        <v>87</v>
      </c>
      <c r="C23" s="12" cm="1">
        <f t="array" ref="C23">IFERROR(INDEX(BD_etu_notes_S1_C3!$E:$E, MATCH(1, (BD_etu_notes_S1_C3!$C:$C = rech_etu_infos!$B$4) * (BD_etu_notes_S1_C3!$B:$B = rech_etu_infos!A23), 0)), 0)</f>
        <v>0</v>
      </c>
      <c r="D23" s="38">
        <v>15</v>
      </c>
    </row>
    <row r="24" spans="1:14" ht="30.75" customHeight="1" thickBot="1" x14ac:dyDescent="0.25">
      <c r="A24" s="30" t="s">
        <v>90</v>
      </c>
      <c r="B24" s="17" t="s">
        <v>89</v>
      </c>
      <c r="C24" s="12" cm="1">
        <f t="array" ref="C24">IFERROR(INDEX(BD_etu_notes_S1_C3!$E:$E, MATCH(1, (BD_etu_notes_S1_C3!$C:$C = rech_etu_infos!$B$4) * (BD_etu_notes_S1_C3!$B:$B = rech_etu_infos!A24), 0)), 0)</f>
        <v>0</v>
      </c>
      <c r="D24" s="38">
        <v>25</v>
      </c>
      <c r="G24" s="160" t="s">
        <v>143</v>
      </c>
      <c r="H24" s="160"/>
    </row>
    <row r="25" spans="1:14" ht="17" thickBot="1" x14ac:dyDescent="0.25">
      <c r="A25" s="30" t="s">
        <v>71</v>
      </c>
      <c r="B25" s="14" t="s">
        <v>51</v>
      </c>
      <c r="C25" s="12" cm="1">
        <f t="array" ref="C25">IFERROR(INDEX(BD_etu_notes_S1_C3!$E:$E, MATCH(1, (BD_etu_notes_S1_C3!$C:$C = rech_etu_infos!$B$4) * (BD_etu_notes_S1_C3!$B:$B = rech_etu_infos!A25), 0)), 0)</f>
        <v>13.5</v>
      </c>
      <c r="D25" s="38">
        <v>5</v>
      </c>
      <c r="G25" s="41" t="s">
        <v>144</v>
      </c>
      <c r="H25" s="117">
        <f>(C11*D11+C12*D12+C13*D13+C14*D14+C15*D15+C16*D16)/SUM(D11:D16)</f>
        <v>11.4</v>
      </c>
      <c r="J25" s="162" t="str">
        <f>IF(AND(COUNTIF(H25:H27, "&gt;=10")&gt;=2, COUNTIF(H25:H27, "&gt;=8")&gt;=1), "Félicitations, vous avez réussi le 1 er semestre!", "Vous avez Échoué le 1 er semestre")</f>
        <v>Vous avez Échoué le 1 er semestre</v>
      </c>
      <c r="K25" s="163"/>
      <c r="L25" s="164"/>
    </row>
    <row r="26" spans="1:14" ht="18.75" customHeight="1" thickBot="1" x14ac:dyDescent="0.25">
      <c r="A26" s="30" t="s">
        <v>92</v>
      </c>
      <c r="B26" s="17" t="s">
        <v>91</v>
      </c>
      <c r="C26" s="12" cm="1">
        <f t="array" ref="C26">IFERROR(INDEX(BD_etu_notes_S1_C3!$E:$E, MATCH(1, (BD_etu_notes_S1_C3!$C:$C = rech_etu_infos!$B$4) * (BD_etu_notes_S1_C3!$B:$B = rech_etu_infos!A26), 0)), 0)</f>
        <v>0</v>
      </c>
      <c r="D26" s="38">
        <v>15</v>
      </c>
      <c r="G26" s="42" t="s">
        <v>145</v>
      </c>
      <c r="H26" s="118">
        <f>(C17*D17+C18*D18+C19*D19+C20*D20+C21*D21)/SUM(D17:D21)</f>
        <v>0.67500000000000004</v>
      </c>
      <c r="J26" s="165"/>
      <c r="K26" s="166"/>
      <c r="L26" s="167"/>
    </row>
    <row r="27" spans="1:14" ht="17" thickBot="1" x14ac:dyDescent="0.25">
      <c r="A27" s="30" t="s">
        <v>94</v>
      </c>
      <c r="B27" s="17" t="s">
        <v>93</v>
      </c>
      <c r="C27" s="12" cm="1">
        <f t="array" ref="C27">IFERROR(INDEX(BD_etu_notes_S1_C3!$E:$E, MATCH(1, (BD_etu_notes_S1_C3!$C:$C = rech_etu_infos!$B$4) * (BD_etu_notes_S1_C3!$B:$B = rech_etu_infos!A27), 0)), 0)</f>
        <v>0</v>
      </c>
      <c r="D27" s="38">
        <v>10</v>
      </c>
      <c r="G27" s="42" t="s">
        <v>146</v>
      </c>
      <c r="H27" s="118">
        <f>(C22*D22+C23*D23+C24*D24+C25*D25+C26*D26+C27*D27+C28*D28)/SUM(D22:D28)</f>
        <v>0.67500000000000004</v>
      </c>
    </row>
    <row r="28" spans="1:14" ht="17" thickBot="1" x14ac:dyDescent="0.25">
      <c r="A28" s="30" t="s">
        <v>96</v>
      </c>
      <c r="B28" s="18" t="s">
        <v>95</v>
      </c>
      <c r="C28" s="12" cm="1">
        <f t="array" ref="C28">IFERROR(INDEX(BD_etu_notes_S1_C3!$E:$E, MATCH(1, (BD_etu_notes_S1_C3!$C:$C = rech_etu_infos!$B$4) * (BD_etu_notes_S1_C3!$B:$B = rech_etu_infos!A28), 0)), 0)</f>
        <v>0</v>
      </c>
      <c r="D28" s="39">
        <v>15</v>
      </c>
      <c r="E28">
        <v>1</v>
      </c>
      <c r="G28" s="40" t="s">
        <v>147</v>
      </c>
      <c r="H28" s="119">
        <f>SUM(H25:H27)/3</f>
        <v>4.2500000000000009</v>
      </c>
      <c r="N28">
        <v>2</v>
      </c>
    </row>
    <row r="30" spans="1:14" ht="24" x14ac:dyDescent="0.3">
      <c r="A30" s="52" t="s">
        <v>148</v>
      </c>
      <c r="C30" s="121" t="str">
        <f xml:space="preserve"> "Ratio des Notes de " &amp; UPPER(B5)&amp; " " &amp; B6 &amp; " par matière pour le semestre 2"</f>
        <v>Ratio des Notes de DUBOIS JEAN par matière pour le semestre 2</v>
      </c>
    </row>
    <row r="31" spans="1:14" ht="21" thickBot="1" x14ac:dyDescent="0.3">
      <c r="A31" s="27" t="s">
        <v>140</v>
      </c>
      <c r="B31" s="27" t="s">
        <v>141</v>
      </c>
      <c r="C31" s="27" t="s">
        <v>142</v>
      </c>
      <c r="D31" s="27" t="s">
        <v>97</v>
      </c>
      <c r="G31" s="120" t="s">
        <v>149</v>
      </c>
    </row>
    <row r="32" spans="1:14" ht="16" thickBot="1" x14ac:dyDescent="0.25">
      <c r="A32" s="31" t="s">
        <v>99</v>
      </c>
      <c r="B32" s="24" t="s">
        <v>54</v>
      </c>
      <c r="C32" s="25" cm="1">
        <f t="array" ref="C32">IFERROR(INDEX(BD_etu_notes_S2_C1!$E:$E, MATCH(1, (BD_etu_notes_S2_C1!$C:$C = rech_etu_infos!$B$4) * (BD_etu_notes_S2_C1!$B:$B = rech_etu_infos!A32), 0)), 0)</f>
        <v>8.5</v>
      </c>
      <c r="D32" s="43">
        <v>10</v>
      </c>
    </row>
    <row r="33" spans="1:7" ht="16" thickBot="1" x14ac:dyDescent="0.25">
      <c r="A33" s="32" t="s">
        <v>100</v>
      </c>
      <c r="B33" s="21" t="s">
        <v>48</v>
      </c>
      <c r="C33" s="25" cm="1">
        <f t="array" ref="C33">IFERROR(INDEX(BD_etu_notes_S2_C1!$E:$E, MATCH(1, (BD_etu_notes_S2_C1!$C:$C = rech_etu_infos!$B$4) * (BD_etu_notes_S2_C1!$B:$B = rech_etu_infos!A33), 0)), 0)</f>
        <v>13</v>
      </c>
      <c r="D33" s="44">
        <v>15</v>
      </c>
    </row>
    <row r="34" spans="1:7" ht="16" thickBot="1" x14ac:dyDescent="0.25">
      <c r="A34" s="32" t="s">
        <v>101</v>
      </c>
      <c r="B34" s="21" t="s">
        <v>50</v>
      </c>
      <c r="C34" s="25" cm="1">
        <f t="array" ref="C34">IFERROR(INDEX(BD_etu_notes_S2_C1!$E:$E, MATCH(1, (BD_etu_notes_S2_C1!$C:$C = rech_etu_infos!$B$4) * (BD_etu_notes_S2_C1!$B:$B = rech_etu_infos!A34), 0)), 0)</f>
        <v>14.5</v>
      </c>
      <c r="D34" s="44">
        <v>15</v>
      </c>
      <c r="G34" s="114" t="str">
        <f xml:space="preserve"> "Ratio des Notes de " &amp; UPPER(B5)&amp; " " &amp; B6 &amp; " par matière pour le semestre 2"</f>
        <v>Ratio des Notes de DUBOIS JEAN par matière pour le semestre 2</v>
      </c>
    </row>
    <row r="35" spans="1:7" ht="16" thickBot="1" x14ac:dyDescent="0.25">
      <c r="A35" s="32" t="s">
        <v>102</v>
      </c>
      <c r="B35" s="21" t="s">
        <v>53</v>
      </c>
      <c r="C35" s="25" cm="1">
        <f t="array" ref="C35">IFERROR(INDEX(BD_etu_notes_S2_C1!$E:$E, MATCH(1, (BD_etu_notes_S2_C1!$C:$C = rech_etu_infos!$B$4) * (BD_etu_notes_S2_C1!$B:$B = rech_etu_infos!A35), 0)), 0)</f>
        <v>13.181818181818182</v>
      </c>
      <c r="D35" s="44">
        <v>15</v>
      </c>
    </row>
    <row r="36" spans="1:7" ht="16" thickBot="1" x14ac:dyDescent="0.25">
      <c r="A36" s="32" t="s">
        <v>71</v>
      </c>
      <c r="B36" s="21" t="s">
        <v>52</v>
      </c>
      <c r="C36" s="25" cm="1">
        <f t="array" ref="C36">IFERROR(INDEX(BD_etu_notes_S2_C1!$E:$E, MATCH(1, (BD_etu_notes_S2_C1!$C:$C = rech_etu_infos!$B$4) * (BD_etu_notes_S2_C1!$B:$B = rech_etu_infos!A36), 0)), 0)</f>
        <v>13.5</v>
      </c>
      <c r="D36" s="44">
        <v>5</v>
      </c>
    </row>
    <row r="37" spans="1:7" ht="16" thickBot="1" x14ac:dyDescent="0.25">
      <c r="A37" s="32" t="s">
        <v>103</v>
      </c>
      <c r="B37" s="21" t="s">
        <v>56</v>
      </c>
      <c r="C37" s="25" cm="1">
        <f t="array" ref="C37">IFERROR(INDEX(BD_etu_notes_S2_C1!$E:$E, MATCH(1, (BD_etu_notes_S2_C1!$C:$C = rech_etu_infos!$B$4) * (BD_etu_notes_S2_C1!$B:$B = rech_etu_infos!A37), 0)), 0)</f>
        <v>10.5</v>
      </c>
      <c r="D37" s="44">
        <v>10</v>
      </c>
    </row>
    <row r="38" spans="1:7" ht="17" thickBot="1" x14ac:dyDescent="0.25">
      <c r="A38" s="32" t="s">
        <v>104</v>
      </c>
      <c r="B38" s="22" t="s">
        <v>57</v>
      </c>
      <c r="C38" s="25" cm="1">
        <f t="array" ref="C38">IFERROR(INDEX(BD_etu_notes_S2_C1!$E:$E, MATCH(1, (BD_etu_notes_S2_C1!$C:$C = rech_etu_infos!$B$4) * (BD_etu_notes_S2_C1!$B:$B = rech_etu_infos!A38), 0)), 0)</f>
        <v>11</v>
      </c>
      <c r="D38" s="44">
        <v>5</v>
      </c>
    </row>
    <row r="39" spans="1:7" ht="17" thickBot="1" x14ac:dyDescent="0.25">
      <c r="A39" s="32" t="s">
        <v>105</v>
      </c>
      <c r="B39" s="22" t="s">
        <v>55</v>
      </c>
      <c r="C39" s="25" cm="1">
        <f t="array" ref="C39">IFERROR(INDEX(BD_etu_notes_S2_C1!$E:$E, MATCH(1, (BD_etu_notes_S2_C1!$C:$C = rech_etu_infos!$B$4) * (BD_etu_notes_S2_C1!$B:$B = rech_etu_infos!A39), 0)), 0)</f>
        <v>17.5</v>
      </c>
      <c r="D39" s="44">
        <v>20</v>
      </c>
    </row>
    <row r="40" spans="1:7" ht="16" thickBot="1" x14ac:dyDescent="0.25">
      <c r="A40" s="33" t="s">
        <v>106</v>
      </c>
      <c r="B40" s="23" t="s">
        <v>58</v>
      </c>
      <c r="C40" s="25" cm="1">
        <f t="array" ref="C40">IFERROR(INDEX(BD_etu_notes_S2_C1!$E:$E, MATCH(1, (BD_etu_notes_S2_C1!$C:$C = rech_etu_infos!$B$4) * (BD_etu_notes_S2_C1!$B:$B = rech_etu_infos!A40), 0)), 0)</f>
        <v>13.5</v>
      </c>
      <c r="D40" s="45">
        <v>5</v>
      </c>
    </row>
    <row r="41" spans="1:7" ht="17" thickBot="1" x14ac:dyDescent="0.25">
      <c r="A41" s="31" t="s">
        <v>109</v>
      </c>
      <c r="B41" s="26" t="s">
        <v>108</v>
      </c>
      <c r="C41" s="25" cm="1">
        <f t="array" ref="C41">IFERROR(INDEX(BD_etu_notes_S2_C2!$E:$E, MATCH(1, (BD_etu_notes_S2_C2!$C:$C = rech_etu_infos!$B$4) * (BD_etu_notes_S2_C2!$B:$B = rech_etu_infos!A41), 0)), 0)</f>
        <v>0</v>
      </c>
      <c r="D41" s="46">
        <v>10</v>
      </c>
    </row>
    <row r="42" spans="1:7" ht="17" thickBot="1" x14ac:dyDescent="0.25">
      <c r="A42" s="32" t="s">
        <v>111</v>
      </c>
      <c r="B42" s="22" t="s">
        <v>61</v>
      </c>
      <c r="C42" s="25" cm="1">
        <f t="array" ref="C42">IFERROR(INDEX(BD_etu_notes_S2_C2!$E:$E, MATCH(1, (BD_etu_notes_S2_C2!$C:$C = rech_etu_infos!$B$4) * (BD_etu_notes_S2_C2!$B:$B = rech_etu_infos!A42), 0)), 0)</f>
        <v>0</v>
      </c>
      <c r="D42" s="47">
        <v>15</v>
      </c>
    </row>
    <row r="43" spans="1:7" ht="17" thickBot="1" x14ac:dyDescent="0.25">
      <c r="A43" s="32" t="s">
        <v>113</v>
      </c>
      <c r="B43" s="22" t="s">
        <v>112</v>
      </c>
      <c r="C43" s="25" cm="1">
        <f t="array" ref="C43">IFERROR(INDEX(BD_etu_notes_S2_C2!$E:$E, MATCH(1, (BD_etu_notes_S2_C2!$C:$C = rech_etu_infos!$B$4) * (BD_etu_notes_S2_C2!$B:$B = rech_etu_infos!A43), 0)), 0)</f>
        <v>0</v>
      </c>
      <c r="D43" s="47">
        <v>15</v>
      </c>
    </row>
    <row r="44" spans="1:7" ht="17" thickBot="1" x14ac:dyDescent="0.25">
      <c r="A44" s="32" t="s">
        <v>115</v>
      </c>
      <c r="B44" s="22" t="s">
        <v>114</v>
      </c>
      <c r="C44" s="25" cm="1">
        <f t="array" ref="C44">IFERROR(INDEX(BD_etu_notes_S2_C2!$E:$E, MATCH(1, (BD_etu_notes_S2_C2!$C:$C = rech_etu_infos!$B$4) * (BD_etu_notes_S2_C2!$B:$B = rech_etu_infos!A44), 0)), 0)</f>
        <v>0</v>
      </c>
      <c r="D44" s="47">
        <v>15</v>
      </c>
    </row>
    <row r="45" spans="1:7" ht="16" thickBot="1" x14ac:dyDescent="0.25">
      <c r="A45" s="32" t="s">
        <v>71</v>
      </c>
      <c r="B45" s="21" t="s">
        <v>52</v>
      </c>
      <c r="C45" s="25" cm="1">
        <f t="array" ref="C45">IFERROR(INDEX(BD_etu_notes_S2_C2!$E:$E, MATCH(1, (BD_etu_notes_S2_C2!$C:$C = rech_etu_infos!$B$4) * (BD_etu_notes_S2_C2!$B:$B = rech_etu_infos!A45), 0)), 0)</f>
        <v>13.5</v>
      </c>
      <c r="D45" s="47">
        <v>5</v>
      </c>
    </row>
    <row r="46" spans="1:7" ht="17" thickBot="1" x14ac:dyDescent="0.25">
      <c r="A46" s="32" t="s">
        <v>117</v>
      </c>
      <c r="B46" s="22" t="s">
        <v>116</v>
      </c>
      <c r="C46" s="25" cm="1">
        <f t="array" ref="C46">IFERROR(INDEX(BD_etu_notes_S2_C2!$E:$E, MATCH(1, (BD_etu_notes_S2_C2!$C:$C = rech_etu_infos!$B$4) * (BD_etu_notes_S2_C2!$B:$B = rech_etu_infos!A46), 0)), 0)</f>
        <v>0</v>
      </c>
      <c r="D46" s="47">
        <v>10</v>
      </c>
    </row>
    <row r="47" spans="1:7" ht="17" thickBot="1" x14ac:dyDescent="0.25">
      <c r="A47" s="32" t="s">
        <v>119</v>
      </c>
      <c r="B47" s="22" t="s">
        <v>118</v>
      </c>
      <c r="C47" s="25" cm="1">
        <f t="array" ref="C47">IFERROR(INDEX(BD_etu_notes_S2_C2!$E:$E, MATCH(1, (BD_etu_notes_S2_C2!$C:$C = rech_etu_infos!$B$4) * (BD_etu_notes_S2_C2!$B:$B = rech_etu_infos!A47), 0)), 0)</f>
        <v>0</v>
      </c>
      <c r="D47" s="47">
        <v>10</v>
      </c>
    </row>
    <row r="48" spans="1:7" ht="17" thickBot="1" x14ac:dyDescent="0.25">
      <c r="A48" s="32" t="s">
        <v>120</v>
      </c>
      <c r="B48" s="22" t="s">
        <v>57</v>
      </c>
      <c r="C48" s="25" cm="1">
        <f t="array" ref="C48">IFERROR(INDEX(BD_etu_notes_S2_C2!$E:$E, MATCH(1, (BD_etu_notes_S2_C2!$C:$C = rech_etu_infos!$B$4) * (BD_etu_notes_S2_C2!$B:$B = rech_etu_infos!A48), 0)), 0)</f>
        <v>11</v>
      </c>
      <c r="D48" s="47">
        <v>5</v>
      </c>
    </row>
    <row r="49" spans="1:14" ht="17" thickBot="1" x14ac:dyDescent="0.25">
      <c r="A49" s="32" t="s">
        <v>121</v>
      </c>
      <c r="B49" s="22" t="s">
        <v>55</v>
      </c>
      <c r="C49" s="25" cm="1">
        <f t="array" ref="C49">IFERROR(INDEX(BD_etu_notes_S2_C2!$E:$E, MATCH(1, (BD_etu_notes_S2_C2!$C:$C = rech_etu_infos!$B$4) * (BD_etu_notes_S2_C2!$B:$B = rech_etu_infos!A49), 0)), 0)</f>
        <v>17.5</v>
      </c>
      <c r="D49" s="47">
        <v>10</v>
      </c>
    </row>
    <row r="50" spans="1:14" ht="16" thickBot="1" x14ac:dyDescent="0.25">
      <c r="A50" s="33" t="s">
        <v>122</v>
      </c>
      <c r="B50" s="23" t="s">
        <v>58</v>
      </c>
      <c r="C50" s="25" cm="1">
        <f t="array" ref="C50">IFERROR(INDEX(BD_etu_notes_S2_C2!$E:$E, MATCH(1, (BD_etu_notes_S2_C2!$C:$C = rech_etu_infos!$B$4) * (BD_etu_notes_S2_C2!$B:$B = rech_etu_infos!A50), 0)), 0)</f>
        <v>13.5</v>
      </c>
      <c r="D50" s="48">
        <v>5</v>
      </c>
    </row>
    <row r="51" spans="1:14" ht="17" thickBot="1" x14ac:dyDescent="0.25">
      <c r="A51" s="31" t="s">
        <v>125</v>
      </c>
      <c r="B51" s="26" t="s">
        <v>124</v>
      </c>
      <c r="C51" s="25" cm="1">
        <f t="array" ref="C51">IFERROR(INDEX(BD_etu_notes_S2_C3!$E:$E, MATCH(1, (BD_etu_notes_S2_C3!$C:$C = rech_etu_infos!$B$4) * (BD_etu_notes_S2_C3!$B:$B = rech_etu_infos!A51), 0)), 0)</f>
        <v>0</v>
      </c>
      <c r="D51" s="46">
        <v>15</v>
      </c>
    </row>
    <row r="52" spans="1:14" ht="17" thickBot="1" x14ac:dyDescent="0.25">
      <c r="A52" s="32" t="s">
        <v>128</v>
      </c>
      <c r="B52" s="22" t="s">
        <v>127</v>
      </c>
      <c r="C52" s="25" cm="1">
        <f t="array" ref="C52">IFERROR(INDEX(BD_etu_notes_S2_C3!$E:$E, MATCH(1, (BD_etu_notes_S2_C3!$C:$C = rech_etu_infos!$B$4) * (BD_etu_notes_S2_C3!$B:$B = rech_etu_infos!A52), 0)), 0)</f>
        <v>0</v>
      </c>
      <c r="D52" s="47">
        <v>15</v>
      </c>
    </row>
    <row r="53" spans="1:14" ht="17" thickBot="1" x14ac:dyDescent="0.25">
      <c r="A53" s="32" t="s">
        <v>130</v>
      </c>
      <c r="B53" s="22" t="s">
        <v>129</v>
      </c>
      <c r="C53" s="25" cm="1">
        <f t="array" ref="C53">IFERROR(INDEX(BD_etu_notes_S2_C3!$E:$E, MATCH(1, (BD_etu_notes_S2_C3!$C:$C = rech_etu_infos!$B$4) * (BD_etu_notes_S2_C3!$B:$B = rech_etu_infos!A53), 0)), 0)</f>
        <v>0</v>
      </c>
      <c r="D53" s="47">
        <v>25</v>
      </c>
    </row>
    <row r="54" spans="1:14" ht="16" thickBot="1" x14ac:dyDescent="0.25">
      <c r="A54" s="32" t="s">
        <v>71</v>
      </c>
      <c r="B54" s="21" t="s">
        <v>52</v>
      </c>
      <c r="C54" s="25" cm="1">
        <f t="array" ref="C54">IFERROR(INDEX(BD_etu_notes_S2_C3!$E:$E, MATCH(1, (BD_etu_notes_S2_C3!$C:$C = rech_etu_infos!$B$4) * (BD_etu_notes_S2_C3!$B:$B = rech_etu_infos!A54), 0)), 0)</f>
        <v>13.5</v>
      </c>
      <c r="D54" s="47">
        <v>5</v>
      </c>
      <c r="G54" s="53" t="s">
        <v>150</v>
      </c>
      <c r="H54" s="53"/>
      <c r="J54" s="114" t="str">
        <f>IF(AND(J25="Félicitations, vous avez réussi le 1 er semestre", J57="Félicitations, vous avez réussi le 2 ème semestre"), "Félicitations, vous avez réussi votre année universitaire, nous vous souhaitons bon courage pour la suite.",  "Nous avons le regret de vous annoncer que vous n'avez pas validé votre année. Nous vous encourageons à revoir vos résultats et à persévérer dans vos efforts. Vous avez la possibilité de vous améliorer et de tenter à nouveau. Bon courage pour la suite.")</f>
        <v>Nous avons le regret de vous annoncer que vous n'avez pas validé votre année. Nous vous encourageons à revoir vos résultats et à persévérer dans vos efforts. Vous avez la possibilité de vous améliorer et de tenter à nouveau. Bon courage pour la suite.</v>
      </c>
    </row>
    <row r="55" spans="1:14" ht="17" thickBot="1" x14ac:dyDescent="0.25">
      <c r="A55" s="32" t="s">
        <v>131</v>
      </c>
      <c r="B55" s="22" t="s">
        <v>57</v>
      </c>
      <c r="C55" s="25" cm="1">
        <f t="array" ref="C55">IFERROR(INDEX(BD_etu_notes_S2_C3!$E:$E, MATCH(1, (BD_etu_notes_S2_C3!$C:$C = rech_etu_infos!$B$4) * (BD_etu_notes_S2_C3!$B:$B = rech_etu_infos!A55), 0)), 0)</f>
        <v>11</v>
      </c>
      <c r="D55" s="47">
        <v>5</v>
      </c>
    </row>
    <row r="56" spans="1:14" ht="17" thickBot="1" x14ac:dyDescent="0.25">
      <c r="A56" s="32" t="s">
        <v>133</v>
      </c>
      <c r="B56" s="22" t="s">
        <v>132</v>
      </c>
      <c r="C56" s="25" cm="1">
        <f t="array" ref="C56">IFERROR(INDEX(BD_etu_notes_S2_C3!$E:$E, MATCH(1, (BD_etu_notes_S2_C3!$C:$C = rech_etu_infos!$B$4) * (BD_etu_notes_S2_C3!$B:$B = rech_etu_infos!A56), 0)), 0)</f>
        <v>0</v>
      </c>
      <c r="D56" s="47">
        <v>10</v>
      </c>
      <c r="G56" s="50" t="s">
        <v>144</v>
      </c>
      <c r="H56" s="115">
        <f>(D32*C32+D33*C33+D34*C34+D35*C35+D36*C36+D37*C37+D38*C38+D39*C39+D40*C40)/SUM(D32:D40)</f>
        <v>13.402272727272727</v>
      </c>
    </row>
    <row r="57" spans="1:14" ht="17" thickBot="1" x14ac:dyDescent="0.25">
      <c r="A57" s="32" t="s">
        <v>134</v>
      </c>
      <c r="B57" s="22" t="s">
        <v>55</v>
      </c>
      <c r="C57" s="25" cm="1">
        <f t="array" ref="C57">IFERROR(INDEX(BD_etu_notes_S2_C3!$E:$E, MATCH(1, (BD_etu_notes_S2_C3!$C:$C = rech_etu_infos!$B$4) * (BD_etu_notes_S2_C3!$B:$B = rech_etu_infos!A57), 0)), 0)</f>
        <v>17.5</v>
      </c>
      <c r="D57" s="47">
        <v>20</v>
      </c>
      <c r="G57" s="50" t="s">
        <v>151</v>
      </c>
      <c r="H57" s="115">
        <f>(C41*D41+D42*C42+D43*C43+D44*C44+D45*C45+D46*C46+D47*C47+D48*C48+D49*C49+D50*C50)/SUM(D41:D50)</f>
        <v>3.65</v>
      </c>
      <c r="J57" s="162" t="str">
        <f>IF(AND(COUNTIF(H56:H58, "&gt;=10")&gt;=2, COUNTIF(H56:H58, "&gt;=8")&gt;=1), "Félicitations, vous avez réussi le 2 ème semestre!", "Vous avez Échoué le 2 ème semestre")</f>
        <v>Vous avez Échoué le 2 ème semestre</v>
      </c>
      <c r="K57" s="163"/>
      <c r="L57" s="163"/>
      <c r="M57" s="164"/>
    </row>
    <row r="58" spans="1:14" ht="17" thickBot="1" x14ac:dyDescent="0.25">
      <c r="A58" s="33" t="s">
        <v>135</v>
      </c>
      <c r="B58" s="23" t="s">
        <v>58</v>
      </c>
      <c r="C58" s="25" cm="1">
        <f t="array" ref="C58">IFERROR(INDEX(BD_etu_notes_S2_C3!$E:$E, MATCH(1, (BD_etu_notes_S2_C3!$C:$C = rech_etu_infos!$B$4) * (BD_etu_notes_S2_C3!$B:$B = rech_etu_infos!A58), 0)), 0)</f>
        <v>13.5</v>
      </c>
      <c r="D58" s="48">
        <v>5</v>
      </c>
      <c r="G58" s="50" t="s">
        <v>152</v>
      </c>
      <c r="H58" s="115">
        <f>(D51*C51+D52*C52+D53*C53+D54*C54+D55*C55+D56*C56+D57*C57+D58*C58)/SUM(D51:D58)</f>
        <v>5.4</v>
      </c>
      <c r="J58" s="165"/>
      <c r="K58" s="166"/>
      <c r="L58" s="166"/>
      <c r="M58" s="167"/>
    </row>
    <row r="59" spans="1:14" ht="16" x14ac:dyDescent="0.2">
      <c r="E59">
        <v>3</v>
      </c>
      <c r="G59" s="51" t="s">
        <v>153</v>
      </c>
      <c r="H59" s="116">
        <f>(SUM(H56:H58)/3)</f>
        <v>7.4840909090909093</v>
      </c>
      <c r="N59">
        <v>4</v>
      </c>
    </row>
    <row r="60" spans="1:14" x14ac:dyDescent="0.2">
      <c r="A60" s="161"/>
      <c r="B60" s="161"/>
      <c r="C60" s="161"/>
      <c r="D60" s="161"/>
      <c r="E60" s="161"/>
    </row>
    <row r="61" spans="1:14" x14ac:dyDescent="0.2">
      <c r="A61" s="161"/>
      <c r="B61" s="161"/>
      <c r="C61" s="161"/>
      <c r="D61" s="161"/>
      <c r="E61" s="161"/>
    </row>
    <row r="62" spans="1:14" x14ac:dyDescent="0.2">
      <c r="A62" s="161"/>
      <c r="B62" s="161"/>
      <c r="C62" s="161"/>
      <c r="D62" s="161"/>
      <c r="E62" s="161"/>
    </row>
    <row r="63" spans="1:14" x14ac:dyDescent="0.2">
      <c r="A63" s="161"/>
      <c r="B63" s="161"/>
      <c r="C63" s="161"/>
      <c r="D63" s="161"/>
      <c r="E63" s="161"/>
    </row>
    <row r="64" spans="1:14" x14ac:dyDescent="0.2">
      <c r="A64" s="161"/>
      <c r="B64" s="161"/>
      <c r="C64" s="161"/>
      <c r="D64" s="161"/>
      <c r="E64" s="161"/>
    </row>
    <row r="65" spans="1:5" x14ac:dyDescent="0.2">
      <c r="A65" s="161"/>
      <c r="B65" s="161"/>
      <c r="C65" s="161"/>
      <c r="D65" s="161"/>
      <c r="E65" s="161"/>
    </row>
    <row r="66" spans="1:5" x14ac:dyDescent="0.2">
      <c r="A66" s="161"/>
      <c r="B66" s="161"/>
      <c r="C66" s="161"/>
      <c r="D66" s="161"/>
      <c r="E66" s="161"/>
    </row>
    <row r="67" spans="1:5" x14ac:dyDescent="0.2">
      <c r="A67" s="161"/>
      <c r="B67" s="161"/>
      <c r="C67" s="161"/>
      <c r="D67" s="161"/>
      <c r="E67" s="161"/>
    </row>
    <row r="68" spans="1:5" x14ac:dyDescent="0.2">
      <c r="A68" s="161"/>
      <c r="B68" s="161"/>
      <c r="C68" s="161"/>
      <c r="D68" s="161"/>
      <c r="E68" s="161"/>
    </row>
    <row r="69" spans="1:5" x14ac:dyDescent="0.2">
      <c r="A69" s="161"/>
      <c r="B69" s="161"/>
      <c r="C69" s="161"/>
      <c r="D69" s="161"/>
      <c r="E69" s="161"/>
    </row>
    <row r="70" spans="1:5" x14ac:dyDescent="0.2">
      <c r="A70" s="161"/>
      <c r="B70" s="161"/>
      <c r="C70" s="161"/>
      <c r="D70" s="161"/>
      <c r="E70" s="161"/>
    </row>
    <row r="71" spans="1:5" x14ac:dyDescent="0.2">
      <c r="A71" s="161"/>
      <c r="B71" s="161"/>
      <c r="C71" s="161"/>
      <c r="D71" s="161"/>
      <c r="E71" s="161"/>
    </row>
    <row r="72" spans="1:5" x14ac:dyDescent="0.2">
      <c r="A72" s="161"/>
      <c r="B72" s="161"/>
      <c r="C72" s="161"/>
      <c r="D72" s="161"/>
      <c r="E72" s="161"/>
    </row>
    <row r="73" spans="1:5" x14ac:dyDescent="0.2">
      <c r="A73" s="161"/>
      <c r="B73" s="161"/>
      <c r="C73" s="161"/>
      <c r="D73" s="161"/>
      <c r="E73" s="161"/>
    </row>
    <row r="74" spans="1:5" x14ac:dyDescent="0.2">
      <c r="A74" s="161"/>
      <c r="B74" s="161"/>
      <c r="C74" s="161"/>
      <c r="D74" s="161"/>
      <c r="E74" s="161"/>
    </row>
    <row r="75" spans="1:5" x14ac:dyDescent="0.2">
      <c r="A75" s="161"/>
      <c r="B75" s="161"/>
      <c r="C75" s="161"/>
      <c r="D75" s="161"/>
      <c r="E75" s="161"/>
    </row>
    <row r="76" spans="1:5" x14ac:dyDescent="0.2">
      <c r="A76" s="161"/>
      <c r="B76" s="161"/>
      <c r="C76" s="161"/>
      <c r="D76" s="161"/>
      <c r="E76" s="161"/>
    </row>
    <row r="77" spans="1:5" x14ac:dyDescent="0.2">
      <c r="A77" s="161"/>
      <c r="B77" s="161"/>
      <c r="C77" s="161"/>
      <c r="D77" s="161"/>
      <c r="E77" s="161"/>
    </row>
    <row r="78" spans="1:5" x14ac:dyDescent="0.2">
      <c r="A78" s="161"/>
      <c r="B78" s="161"/>
      <c r="C78" s="161"/>
      <c r="D78" s="161"/>
      <c r="E78" s="161"/>
    </row>
    <row r="79" spans="1:5" x14ac:dyDescent="0.2">
      <c r="A79" s="161"/>
      <c r="B79" s="161"/>
      <c r="C79" s="161"/>
      <c r="D79" s="161"/>
      <c r="E79" s="161"/>
    </row>
    <row r="80" spans="1:5" x14ac:dyDescent="0.2">
      <c r="A80" s="161"/>
      <c r="B80" s="161"/>
      <c r="C80" s="161"/>
      <c r="D80" s="161"/>
      <c r="E80" s="161"/>
    </row>
    <row r="81" spans="1:5" x14ac:dyDescent="0.2">
      <c r="A81" s="161"/>
      <c r="B81" s="161"/>
      <c r="C81" s="161"/>
      <c r="D81" s="161"/>
      <c r="E81" s="161"/>
    </row>
    <row r="82" spans="1:5" x14ac:dyDescent="0.2">
      <c r="A82" s="161"/>
      <c r="B82" s="161"/>
      <c r="C82" s="161"/>
      <c r="D82" s="161"/>
      <c r="E82" s="161"/>
    </row>
    <row r="83" spans="1:5" x14ac:dyDescent="0.2">
      <c r="A83" s="161"/>
      <c r="B83" s="161"/>
      <c r="C83" s="161"/>
      <c r="D83" s="161"/>
      <c r="E83" s="161"/>
    </row>
    <row r="84" spans="1:5" x14ac:dyDescent="0.2">
      <c r="A84" s="161"/>
      <c r="B84" s="161"/>
      <c r="C84" s="161"/>
      <c r="D84" s="161"/>
      <c r="E84" s="161"/>
    </row>
    <row r="85" spans="1:5" x14ac:dyDescent="0.2">
      <c r="A85" s="161"/>
      <c r="B85" s="161"/>
      <c r="C85" s="161"/>
      <c r="D85" s="161"/>
      <c r="E85" s="161"/>
    </row>
    <row r="86" spans="1:5" x14ac:dyDescent="0.2">
      <c r="A86" s="161"/>
      <c r="B86" s="161"/>
      <c r="C86" s="161"/>
      <c r="D86" s="161"/>
      <c r="E86" s="161"/>
    </row>
    <row r="87" spans="1:5" x14ac:dyDescent="0.2">
      <c r="A87" s="161"/>
      <c r="B87" s="161"/>
      <c r="C87" s="161"/>
      <c r="D87" s="161"/>
      <c r="E87" s="161"/>
    </row>
    <row r="88" spans="1:5" x14ac:dyDescent="0.2">
      <c r="A88" s="161"/>
      <c r="B88" s="161"/>
      <c r="C88" s="161"/>
      <c r="D88" s="161"/>
      <c r="E88" s="161"/>
    </row>
  </sheetData>
  <mergeCells count="5">
    <mergeCell ref="A1:E1"/>
    <mergeCell ref="G24:H24"/>
    <mergeCell ref="A60:E88"/>
    <mergeCell ref="J25:L26"/>
    <mergeCell ref="J57:M58"/>
  </mergeCells>
  <conditionalFormatting sqref="H25:H27 H56:H58">
    <cfRule type="cellIs" dxfId="6" priority="5" operator="lessThan">
      <formula>8</formula>
    </cfRule>
    <cfRule type="cellIs" dxfId="5" priority="6" operator="between">
      <formula>8</formula>
      <formula>10</formula>
    </cfRule>
    <cfRule type="cellIs" dxfId="4" priority="7" operator="greaterThan">
      <formula>10</formula>
    </cfRule>
  </conditionalFormatting>
  <conditionalFormatting sqref="J25:L26">
    <cfRule type="cellIs" dxfId="3" priority="3" operator="equal">
      <formula>"Félicitations, vous avez réussi le 1 er semestre!"</formula>
    </cfRule>
    <cfRule type="cellIs" dxfId="2" priority="4" operator="equal">
      <formula>"Vous avez Échoué le 1 er semestre"</formula>
    </cfRule>
  </conditionalFormatting>
  <conditionalFormatting sqref="J57:M58">
    <cfRule type="cellIs" dxfId="1" priority="1" operator="equal">
      <formula>"Vous avez Échoué le 2 ème semestre"</formula>
    </cfRule>
    <cfRule type="cellIs" dxfId="0" priority="2" operator="equal">
      <formula>"Félicitations, vous avez réussi le 2 ème semestre!"</formula>
    </cfRule>
  </conditionalFormatting>
  <pageMargins left="0.7" right="0.7" top="0.75" bottom="0.75" header="0.3" footer="0.3"/>
  <pageSetup paperSize="9" orientation="landscape"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37F96E2-CEDE-4E83-A6F5-0E189557B719}">
          <x14:formula1>
            <xm:f>etudiant!$A$2:$A$1048576</xm:f>
          </x14:formula1>
          <xm:sqref>B4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3852C-1DF8-45EA-8098-8FF2F11E4F71}">
  <sheetPr codeName="Feuil5"/>
  <dimension ref="A1:F1000"/>
  <sheetViews>
    <sheetView zoomScale="92" workbookViewId="0">
      <selection activeCell="E4" sqref="E4"/>
    </sheetView>
  </sheetViews>
  <sheetFormatPr baseColWidth="10" defaultColWidth="11.5" defaultRowHeight="15" x14ac:dyDescent="0.2"/>
  <cols>
    <col min="1" max="1" width="88.33203125" style="4" bestFit="1" customWidth="1"/>
    <col min="2" max="2" width="11.5" style="4"/>
    <col min="3" max="3" width="11.5" style="138"/>
    <col min="4" max="5" width="11.5" style="4"/>
    <col min="6" max="6" width="13.5" bestFit="1" customWidth="1"/>
  </cols>
  <sheetData>
    <row r="1" spans="1:6" x14ac:dyDescent="0.2">
      <c r="A1" s="5" t="s">
        <v>154</v>
      </c>
      <c r="B1" s="5"/>
      <c r="C1" s="5"/>
      <c r="D1"/>
      <c r="E1"/>
    </row>
    <row r="2" spans="1:6" x14ac:dyDescent="0.2">
      <c r="A2"/>
      <c r="B2"/>
      <c r="C2"/>
      <c r="D2"/>
      <c r="E2"/>
    </row>
    <row r="3" spans="1:6" ht="16" x14ac:dyDescent="0.2">
      <c r="A3" s="9" t="s">
        <v>155</v>
      </c>
      <c r="B3" s="9" t="s">
        <v>156</v>
      </c>
      <c r="C3" s="140" t="s">
        <v>157</v>
      </c>
      <c r="D3" s="9" t="s">
        <v>97</v>
      </c>
      <c r="E3" s="9" t="s">
        <v>142</v>
      </c>
    </row>
    <row r="4" spans="1:6" ht="16" x14ac:dyDescent="0.2">
      <c r="A4" s="10" t="str">
        <f>_xlfn.XLOOKUP(B4,'Semestre 1'!$D$3:$D$20,'Semestre 1'!$B$3:$B$20,"introuvable")</f>
        <v>Tableur et Reporting</v>
      </c>
      <c r="B4" s="10" t="s">
        <v>68</v>
      </c>
      <c r="C4" s="141" t="s">
        <v>5</v>
      </c>
      <c r="D4" s="10">
        <f>_xlfn.XLOOKUP(B4,'Semestre 1'!$D$3:$D$20,'Semestre 1'!$C$3:$C$20, "introuvable")</f>
        <v>15</v>
      </c>
      <c r="E4" s="10">
        <f>IFERROR(IFERROR(SUMIFS('Base de données'!$G:$G, 'Base de données'!A:A, BD_etu_notes_S1_C1!C4, 'Base de données'!$C:$C, BD_etu_notes_S1_C1!A4), 0) / IFERROR(SUMIFS('Base de données'!$E:$E, 'Base de données'!A:A, BD_etu_notes_S1_C1!C4, 'Base de données'!$C:$C, BD_etu_notes_S1_C1!A4), 0),0)</f>
        <v>10.5</v>
      </c>
    </row>
    <row r="5" spans="1:6" ht="16" x14ac:dyDescent="0.2">
      <c r="A5" s="10" t="str">
        <f>_xlfn.XLOOKUP(B5,'Semestre 1'!$D$3:$D$20,'Semestre 1'!$B$3:$B$20,"introuvable")</f>
        <v>Tableur et Reporting</v>
      </c>
      <c r="B5" s="10" t="s">
        <v>68</v>
      </c>
      <c r="C5" s="141" t="s">
        <v>9</v>
      </c>
      <c r="D5" s="10">
        <f>_xlfn.XLOOKUP(B5,'Semestre 1'!$D$3:$D$20,'Semestre 1'!$C$3:$C$20, "introuvable")</f>
        <v>15</v>
      </c>
      <c r="E5" s="10">
        <f>IFERROR(IFERROR(SUMIFS('Base de données'!$G:$G, 'Base de données'!A:A, BD_etu_notes_S1_C1!C5, 'Base de données'!$C:$C, BD_etu_notes_S1_C1!A5), 0) / IFERROR(SUMIFS('Base de données'!$E:$E, 'Base de données'!A:A, BD_etu_notes_S1_C1!C5, 'Base de données'!$C:$C, BD_etu_notes_S1_C1!A5), 0),0)</f>
        <v>9</v>
      </c>
      <c r="F5" t="str">
        <f t="shared" ref="F5:F40" si="0">B97 &amp; C97</f>
        <v/>
      </c>
    </row>
    <row r="6" spans="1:6" ht="16" x14ac:dyDescent="0.2">
      <c r="A6" s="10" t="str">
        <f>_xlfn.XLOOKUP(B6,'Semestre 1'!$D$3:$D$20,'Semestre 1'!$B$3:$B$20,"introuvable")</f>
        <v>Tableur et Reporting</v>
      </c>
      <c r="B6" s="10" t="s">
        <v>68</v>
      </c>
      <c r="C6" s="141" t="s">
        <v>11</v>
      </c>
      <c r="D6" s="10">
        <f>_xlfn.XLOOKUP(B6,'Semestre 1'!$D$3:$D$20,'Semestre 1'!$C$3:$C$20, "introuvable")</f>
        <v>15</v>
      </c>
      <c r="E6" s="10">
        <f>IFERROR(IFERROR(SUMIFS('Base de données'!$G:$G, 'Base de données'!A:A, BD_etu_notes_S1_C1!C6, 'Base de données'!$C:$C, BD_etu_notes_S1_C1!A6), 0) / IFERROR(SUMIFS('Base de données'!$E:$E, 'Base de données'!A:A, BD_etu_notes_S1_C1!C6, 'Base de données'!$C:$C, BD_etu_notes_S1_C1!A6), 0),0)</f>
        <v>11</v>
      </c>
      <c r="F6" t="str">
        <f t="shared" si="0"/>
        <v/>
      </c>
    </row>
    <row r="7" spans="1:6" ht="16" x14ac:dyDescent="0.2">
      <c r="A7" s="10" t="str">
        <f>_xlfn.XLOOKUP(B7,'Semestre 1'!$D$3:$D$20,'Semestre 1'!$B$3:$B$20,"introuvable")</f>
        <v>Tableur et Reporting</v>
      </c>
      <c r="B7" s="10" t="s">
        <v>68</v>
      </c>
      <c r="C7" s="141" t="s">
        <v>14</v>
      </c>
      <c r="D7" s="10">
        <f>_xlfn.XLOOKUP(B7,'Semestre 1'!$D$3:$D$20,'Semestre 1'!$C$3:$C$20, "introuvable")</f>
        <v>15</v>
      </c>
      <c r="E7" s="10">
        <f>IFERROR(IFERROR(SUMIFS('Base de données'!$G:$G, 'Base de données'!A:A, BD_etu_notes_S1_C1!C7, 'Base de données'!$C:$C, BD_etu_notes_S1_C1!A7), 0) / IFERROR(SUMIFS('Base de données'!$E:$E, 'Base de données'!A:A, BD_etu_notes_S1_C1!C7, 'Base de données'!$C:$C, BD_etu_notes_S1_C1!A7), 0),0)</f>
        <v>13</v>
      </c>
      <c r="F7" t="str">
        <f t="shared" si="0"/>
        <v/>
      </c>
    </row>
    <row r="8" spans="1:6" ht="16" x14ac:dyDescent="0.2">
      <c r="A8" s="10" t="str">
        <f>_xlfn.XLOOKUP(B8,'Semestre 1'!$D$3:$D$20,'Semestre 1'!$B$3:$B$20,"introuvable")</f>
        <v>Tableur et Reporting</v>
      </c>
      <c r="B8" s="10" t="s">
        <v>68</v>
      </c>
      <c r="C8" s="141" t="s">
        <v>16</v>
      </c>
      <c r="D8" s="10">
        <f>_xlfn.XLOOKUP(B8,'Semestre 1'!$D$3:$D$20,'Semestre 1'!$C$3:$C$20, "introuvable")</f>
        <v>15</v>
      </c>
      <c r="E8" s="10">
        <f>IFERROR(IFERROR(SUMIFS('Base de données'!$G:$G, 'Base de données'!A:A, BD_etu_notes_S1_C1!C8, 'Base de données'!$C:$C, BD_etu_notes_S1_C1!A8), 0) / IFERROR(SUMIFS('Base de données'!$E:$E, 'Base de données'!A:A, BD_etu_notes_S1_C1!C8, 'Base de données'!$C:$C, BD_etu_notes_S1_C1!A8), 0),0)</f>
        <v>14</v>
      </c>
      <c r="F8" t="str">
        <f t="shared" si="0"/>
        <v/>
      </c>
    </row>
    <row r="9" spans="1:6" ht="16" x14ac:dyDescent="0.2">
      <c r="A9" s="10" t="str">
        <f>_xlfn.XLOOKUP(B9,'Semestre 1'!$D$3:$D$20,'Semestre 1'!$B$3:$B$20,"introuvable")</f>
        <v>Tableur et Reporting</v>
      </c>
      <c r="B9" s="10" t="s">
        <v>68</v>
      </c>
      <c r="C9" s="141" t="s">
        <v>19</v>
      </c>
      <c r="D9" s="10">
        <f>_xlfn.XLOOKUP(B9,'Semestre 1'!$D$3:$D$20,'Semestre 1'!$C$3:$C$20, "introuvable")</f>
        <v>15</v>
      </c>
      <c r="E9" s="10">
        <f>IFERROR(IFERROR(SUMIFS('Base de données'!$G:$G, 'Base de données'!A:A, BD_etu_notes_S1_C1!C9, 'Base de données'!$C:$C, BD_etu_notes_S1_C1!A9), 0) / IFERROR(SUMIFS('Base de données'!$E:$E, 'Base de données'!A:A, BD_etu_notes_S1_C1!C9, 'Base de données'!$C:$C, BD_etu_notes_S1_C1!A9), 0),0)</f>
        <v>10</v>
      </c>
      <c r="F9" t="str">
        <f t="shared" si="0"/>
        <v/>
      </c>
    </row>
    <row r="10" spans="1:6" ht="16" x14ac:dyDescent="0.2">
      <c r="A10" s="10" t="str">
        <f>_xlfn.XLOOKUP(B10,'Semestre 1'!$D$3:$D$20,'Semestre 1'!$B$3:$B$20,"introuvable")</f>
        <v>Tableur et Reporting</v>
      </c>
      <c r="B10" s="10" t="s">
        <v>68</v>
      </c>
      <c r="C10" s="141" t="s">
        <v>21</v>
      </c>
      <c r="D10" s="10">
        <f>_xlfn.XLOOKUP(B10,'Semestre 1'!$D$3:$D$20,'Semestre 1'!$C$3:$C$20, "introuvable")</f>
        <v>15</v>
      </c>
      <c r="E10" s="10">
        <f>IFERROR(IFERROR(SUMIFS('Base de données'!$G:$G, 'Base de données'!A:A, BD_etu_notes_S1_C1!C10, 'Base de données'!$C:$C, BD_etu_notes_S1_C1!A10), 0) / IFERROR(SUMIFS('Base de données'!$E:$E, 'Base de données'!A:A, BD_etu_notes_S1_C1!C10, 'Base de données'!$C:$C, BD_etu_notes_S1_C1!A10), 0),0)</f>
        <v>12</v>
      </c>
      <c r="F10" t="str">
        <f t="shared" si="0"/>
        <v/>
      </c>
    </row>
    <row r="11" spans="1:6" ht="16" x14ac:dyDescent="0.2">
      <c r="A11" s="10" t="str">
        <f>_xlfn.XLOOKUP(B11,'Semestre 1'!$D$3:$D$20,'Semestre 1'!$B$3:$B$20,"introuvable")</f>
        <v>Tableur et Reporting</v>
      </c>
      <c r="B11" s="10" t="s">
        <v>68</v>
      </c>
      <c r="C11" s="141" t="s">
        <v>24</v>
      </c>
      <c r="D11" s="10">
        <f>_xlfn.XLOOKUP(B11,'Semestre 1'!$D$3:$D$20,'Semestre 1'!$C$3:$C$20, "introuvable")</f>
        <v>15</v>
      </c>
      <c r="E11" s="10">
        <f>IFERROR(IFERROR(SUMIFS('Base de données'!$G:$G, 'Base de données'!A:A, BD_etu_notes_S1_C1!C11, 'Base de données'!$C:$C, BD_etu_notes_S1_C1!A11), 0) / IFERROR(SUMIFS('Base de données'!$E:$E, 'Base de données'!A:A, BD_etu_notes_S1_C1!C11, 'Base de données'!$C:$C, BD_etu_notes_S1_C1!A11), 0),0)</f>
        <v>15</v>
      </c>
      <c r="F11" t="str">
        <f t="shared" si="0"/>
        <v/>
      </c>
    </row>
    <row r="12" spans="1:6" ht="16" x14ac:dyDescent="0.2">
      <c r="A12" s="10" t="str">
        <f>_xlfn.XLOOKUP(B12,'Semestre 1'!$D$3:$D$20,'Semestre 1'!$B$3:$B$20,"introuvable")</f>
        <v>Tableur et Reporting</v>
      </c>
      <c r="B12" s="10" t="s">
        <v>68</v>
      </c>
      <c r="C12" s="141" t="s">
        <v>26</v>
      </c>
      <c r="D12" s="10">
        <f>_xlfn.XLOOKUP(B12,'Semestre 1'!$D$3:$D$20,'Semestre 1'!$C$3:$C$20, "introuvable")</f>
        <v>15</v>
      </c>
      <c r="E12" s="10">
        <f>IFERROR(IFERROR(SUMIFS('Base de données'!$G:$G, 'Base de données'!A:A, BD_etu_notes_S1_C1!C12, 'Base de données'!$C:$C, BD_etu_notes_S1_C1!A12), 0) / IFERROR(SUMIFS('Base de données'!$E:$E, 'Base de données'!A:A, BD_etu_notes_S1_C1!C12, 'Base de données'!$C:$C, BD_etu_notes_S1_C1!A12), 0),0)</f>
        <v>16.5</v>
      </c>
      <c r="F12" t="str">
        <f t="shared" si="0"/>
        <v/>
      </c>
    </row>
    <row r="13" spans="1:6" ht="16" x14ac:dyDescent="0.2">
      <c r="A13" s="10" t="str">
        <f>_xlfn.XLOOKUP(B13,'Semestre 1'!$D$3:$D$20,'Semestre 1'!$B$3:$B$20,"introuvable")</f>
        <v>Tableur et Reporting</v>
      </c>
      <c r="B13" s="10" t="s">
        <v>68</v>
      </c>
      <c r="C13" s="141" t="s">
        <v>29</v>
      </c>
      <c r="D13" s="10">
        <f>_xlfn.XLOOKUP(B13,'Semestre 1'!$D$3:$D$20,'Semestre 1'!$C$3:$C$20, "introuvable")</f>
        <v>15</v>
      </c>
      <c r="E13" s="10">
        <f>IFERROR(IFERROR(SUMIFS('Base de données'!$G:$G, 'Base de données'!A:A, BD_etu_notes_S1_C1!C13, 'Base de données'!$C:$C, BD_etu_notes_S1_C1!A13), 0) / IFERROR(SUMIFS('Base de données'!$E:$E, 'Base de données'!A:A, BD_etu_notes_S1_C1!C13, 'Base de données'!$C:$C, BD_etu_notes_S1_C1!A13), 0),0)</f>
        <v>13</v>
      </c>
      <c r="F13" t="str">
        <f t="shared" si="0"/>
        <v/>
      </c>
    </row>
    <row r="14" spans="1:6" ht="16" x14ac:dyDescent="0.2">
      <c r="A14" s="10" t="str">
        <f>_xlfn.XLOOKUP(B14,'Semestre 1'!$D$3:$D$20,'Semestre 1'!$B$3:$B$20,"introuvable")</f>
        <v>Bases de données relationnelles 1</v>
      </c>
      <c r="B14" s="10" t="s">
        <v>69</v>
      </c>
      <c r="C14" s="141" t="s">
        <v>5</v>
      </c>
      <c r="D14" s="10">
        <f>_xlfn.XLOOKUP(B14,'Semestre 1'!$D$3:$D$20,'Semestre 1'!$C$3:$C$20, "introuvable")</f>
        <v>20</v>
      </c>
      <c r="E14" s="10">
        <f>IFERROR(IFERROR(SUMIFS('Base de données'!$G:$G, 'Base de données'!A:A, BD_etu_notes_S1_C1!C14, 'Base de données'!$C:$C, BD_etu_notes_S1_C1!A14), 0) / IFERROR(SUMIFS('Base de données'!$E:$E, 'Base de données'!A:A, BD_etu_notes_S1_C1!C14, 'Base de données'!$C:$C, BD_etu_notes_S1_C1!A14), 0),0)</f>
        <v>11.5</v>
      </c>
      <c r="F14" t="str">
        <f t="shared" si="0"/>
        <v/>
      </c>
    </row>
    <row r="15" spans="1:6" ht="16" x14ac:dyDescent="0.2">
      <c r="A15" s="10" t="str">
        <f>_xlfn.XLOOKUP(B15,'Semestre 1'!$D$3:$D$20,'Semestre 1'!$B$3:$B$20,"introuvable")</f>
        <v>Bases de données relationnelles 1</v>
      </c>
      <c r="B15" s="10" t="s">
        <v>69</v>
      </c>
      <c r="C15" s="141" t="s">
        <v>9</v>
      </c>
      <c r="D15" s="10">
        <f>_xlfn.XLOOKUP(B15,'Semestre 1'!$D$3:$D$20,'Semestre 1'!$C$3:$C$20, "introuvable")</f>
        <v>20</v>
      </c>
      <c r="E15" s="10">
        <f>IFERROR(IFERROR(SUMIFS('Base de données'!$G:$G, 'Base de données'!A:A, BD_etu_notes_S1_C1!C15, 'Base de données'!$C:$C, BD_etu_notes_S1_C1!A15), 0) / IFERROR(SUMIFS('Base de données'!$E:$E, 'Base de données'!A:A, BD_etu_notes_S1_C1!C15, 'Base de données'!$C:$C, BD_etu_notes_S1_C1!A15), 0),0)</f>
        <v>13</v>
      </c>
      <c r="F15" t="str">
        <f t="shared" si="0"/>
        <v/>
      </c>
    </row>
    <row r="16" spans="1:6" ht="16" x14ac:dyDescent="0.2">
      <c r="A16" s="10" t="str">
        <f>_xlfn.XLOOKUP(B16,'Semestre 1'!$D$3:$D$20,'Semestre 1'!$B$3:$B$20,"introuvable")</f>
        <v>Bases de données relationnelles 1</v>
      </c>
      <c r="B16" s="10" t="s">
        <v>69</v>
      </c>
      <c r="C16" s="141" t="s">
        <v>11</v>
      </c>
      <c r="D16" s="10">
        <f>_xlfn.XLOOKUP(B16,'Semestre 1'!$D$3:$D$20,'Semestre 1'!$C$3:$C$20, "introuvable")</f>
        <v>20</v>
      </c>
      <c r="E16" s="10">
        <f>IFERROR(IFERROR(SUMIFS('Base de données'!$G:$G, 'Base de données'!A:A, BD_etu_notes_S1_C1!C16, 'Base de données'!$C:$C, BD_etu_notes_S1_C1!A16), 0) / IFERROR(SUMIFS('Base de données'!$E:$E, 'Base de données'!A:A, BD_etu_notes_S1_C1!C16, 'Base de données'!$C:$C, BD_etu_notes_S1_C1!A16), 0),0)</f>
        <v>17.5</v>
      </c>
      <c r="F16" t="str">
        <f t="shared" si="0"/>
        <v/>
      </c>
    </row>
    <row r="17" spans="1:6" ht="16" x14ac:dyDescent="0.2">
      <c r="A17" s="10" t="str">
        <f>_xlfn.XLOOKUP(B17,'Semestre 1'!$D$3:$D$20,'Semestre 1'!$B$3:$B$20,"introuvable")</f>
        <v>Bases de données relationnelles 1</v>
      </c>
      <c r="B17" s="10" t="s">
        <v>69</v>
      </c>
      <c r="C17" s="141" t="s">
        <v>14</v>
      </c>
      <c r="D17" s="10">
        <f>_xlfn.XLOOKUP(B17,'Semestre 1'!$D$3:$D$20,'Semestre 1'!$C$3:$C$20, "introuvable")</f>
        <v>20</v>
      </c>
      <c r="E17" s="10">
        <f>IFERROR(IFERROR(SUMIFS('Base de données'!$G:$G, 'Base de données'!A:A, BD_etu_notes_S1_C1!C17, 'Base de données'!$C:$C, BD_etu_notes_S1_C1!A17), 0) / IFERROR(SUMIFS('Base de données'!$E:$E, 'Base de données'!A:A, BD_etu_notes_S1_C1!C17, 'Base de données'!$C:$C, BD_etu_notes_S1_C1!A17), 0),0)</f>
        <v>10.5</v>
      </c>
      <c r="F17" t="str">
        <f t="shared" si="0"/>
        <v/>
      </c>
    </row>
    <row r="18" spans="1:6" ht="16" x14ac:dyDescent="0.2">
      <c r="A18" s="10" t="str">
        <f>_xlfn.XLOOKUP(B18,'Semestre 1'!$D$3:$D$20,'Semestre 1'!$B$3:$B$20,"introuvable")</f>
        <v>Bases de données relationnelles 1</v>
      </c>
      <c r="B18" s="10" t="s">
        <v>69</v>
      </c>
      <c r="C18" s="141" t="s">
        <v>16</v>
      </c>
      <c r="D18" s="10">
        <f>_xlfn.XLOOKUP(B18,'Semestre 1'!$D$3:$D$20,'Semestre 1'!$C$3:$C$20, "introuvable")</f>
        <v>20</v>
      </c>
      <c r="E18" s="10">
        <f>IFERROR(IFERROR(SUMIFS('Base de données'!$G:$G, 'Base de données'!A:A, BD_etu_notes_S1_C1!C18, 'Base de données'!$C:$C, BD_etu_notes_S1_C1!A18), 0) / IFERROR(SUMIFS('Base de données'!$E:$E, 'Base de données'!A:A, BD_etu_notes_S1_C1!C18, 'Base de données'!$C:$C, BD_etu_notes_S1_C1!A18), 0),0)</f>
        <v>16</v>
      </c>
      <c r="F18" t="str">
        <f t="shared" si="0"/>
        <v/>
      </c>
    </row>
    <row r="19" spans="1:6" ht="16" x14ac:dyDescent="0.2">
      <c r="A19" s="10" t="str">
        <f>_xlfn.XLOOKUP(B19,'Semestre 1'!$D$3:$D$20,'Semestre 1'!$B$3:$B$20,"introuvable")</f>
        <v>Bases de données relationnelles 1</v>
      </c>
      <c r="B19" s="10" t="s">
        <v>69</v>
      </c>
      <c r="C19" s="141" t="s">
        <v>19</v>
      </c>
      <c r="D19" s="10">
        <f>_xlfn.XLOOKUP(B19,'Semestre 1'!$D$3:$D$20,'Semestre 1'!$C$3:$C$20, "introuvable")</f>
        <v>20</v>
      </c>
      <c r="E19" s="10">
        <f>IFERROR(IFERROR(SUMIFS('Base de données'!$G:$G, 'Base de données'!A:A, BD_etu_notes_S1_C1!C19, 'Base de données'!$C:$C, BD_etu_notes_S1_C1!A19), 0) / IFERROR(SUMIFS('Base de données'!$E:$E, 'Base de données'!A:A, BD_etu_notes_S1_C1!C19, 'Base de données'!$C:$C, BD_etu_notes_S1_C1!A19), 0),0)</f>
        <v>13.5</v>
      </c>
      <c r="F19" t="str">
        <f t="shared" si="0"/>
        <v/>
      </c>
    </row>
    <row r="20" spans="1:6" ht="16" x14ac:dyDescent="0.2">
      <c r="A20" s="10" t="str">
        <f>_xlfn.XLOOKUP(B20,'Semestre 1'!$D$3:$D$20,'Semestre 1'!$B$3:$B$20,"introuvable")</f>
        <v>Bases de données relationnelles 1</v>
      </c>
      <c r="B20" s="10" t="s">
        <v>69</v>
      </c>
      <c r="C20" s="141" t="s">
        <v>21</v>
      </c>
      <c r="D20" s="10">
        <f>_xlfn.XLOOKUP(B20,'Semestre 1'!$D$3:$D$20,'Semestre 1'!$C$3:$C$20, "introuvable")</f>
        <v>20</v>
      </c>
      <c r="E20" s="10">
        <f>IFERROR(IFERROR(SUMIFS('Base de données'!$G:$G, 'Base de données'!A:A, BD_etu_notes_S1_C1!C20, 'Base de données'!$C:$C, BD_etu_notes_S1_C1!A20), 0) / IFERROR(SUMIFS('Base de données'!$E:$E, 'Base de données'!A:A, BD_etu_notes_S1_C1!C20, 'Base de données'!$C:$C, BD_etu_notes_S1_C1!A20), 0),0)</f>
        <v>10.5</v>
      </c>
      <c r="F20" t="str">
        <f t="shared" si="0"/>
        <v/>
      </c>
    </row>
    <row r="21" spans="1:6" ht="16" x14ac:dyDescent="0.2">
      <c r="A21" s="10" t="str">
        <f>_xlfn.XLOOKUP(B21,'Semestre 1'!$D$3:$D$20,'Semestre 1'!$B$3:$B$20,"introuvable")</f>
        <v>Bases de données relationnelles 1</v>
      </c>
      <c r="B21" s="10" t="s">
        <v>69</v>
      </c>
      <c r="C21" s="141" t="s">
        <v>24</v>
      </c>
      <c r="D21" s="10">
        <f>_xlfn.XLOOKUP(B21,'Semestre 1'!$D$3:$D$20,'Semestre 1'!$C$3:$C$20, "introuvable")</f>
        <v>20</v>
      </c>
      <c r="E21" s="10">
        <f>IFERROR(IFERROR(SUMIFS('Base de données'!$G:$G, 'Base de données'!A:A, BD_etu_notes_S1_C1!C21, 'Base de données'!$C:$C, BD_etu_notes_S1_C1!A21), 0) / IFERROR(SUMIFS('Base de données'!$E:$E, 'Base de données'!A:A, BD_etu_notes_S1_C1!C21, 'Base de données'!$C:$C, BD_etu_notes_S1_C1!A21), 0),0)</f>
        <v>14.5</v>
      </c>
      <c r="F21" t="str">
        <f t="shared" si="0"/>
        <v/>
      </c>
    </row>
    <row r="22" spans="1:6" ht="16" x14ac:dyDescent="0.2">
      <c r="A22" s="10" t="str">
        <f>_xlfn.XLOOKUP(B22,'Semestre 1'!$D$3:$D$20,'Semestre 1'!$B$3:$B$20,"introuvable")</f>
        <v>Bases de données relationnelles 1</v>
      </c>
      <c r="B22" s="10" t="s">
        <v>69</v>
      </c>
      <c r="C22" s="141" t="s">
        <v>26</v>
      </c>
      <c r="D22" s="10">
        <f>_xlfn.XLOOKUP(B22,'Semestre 1'!$D$3:$D$20,'Semestre 1'!$C$3:$C$20, "introuvable")</f>
        <v>20</v>
      </c>
      <c r="E22" s="10">
        <f>IFERROR(IFERROR(SUMIFS('Base de données'!$G:$G, 'Base de données'!A:A, BD_etu_notes_S1_C1!C22, 'Base de données'!$C:$C, BD_etu_notes_S1_C1!A22), 0) / IFERROR(SUMIFS('Base de données'!$E:$E, 'Base de données'!A:A, BD_etu_notes_S1_C1!C22, 'Base de données'!$C:$C, BD_etu_notes_S1_C1!A22), 0),0)</f>
        <v>12</v>
      </c>
      <c r="F22" t="str">
        <f t="shared" si="0"/>
        <v/>
      </c>
    </row>
    <row r="23" spans="1:6" ht="16" x14ac:dyDescent="0.2">
      <c r="A23" s="10" t="str">
        <f>_xlfn.XLOOKUP(B23,'Semestre 1'!$D$3:$D$20,'Semestre 1'!$B$3:$B$20,"introuvable")</f>
        <v>Bases de données relationnelles 1</v>
      </c>
      <c r="B23" s="10" t="s">
        <v>69</v>
      </c>
      <c r="C23" s="141" t="s">
        <v>29</v>
      </c>
      <c r="D23" s="10">
        <f>_xlfn.XLOOKUP(B23,'Semestre 1'!$D$3:$D$20,'Semestre 1'!$C$3:$C$20, "introuvable")</f>
        <v>20</v>
      </c>
      <c r="E23" s="10">
        <f>IFERROR(IFERROR(SUMIFS('Base de données'!$G:$G, 'Base de données'!A:A, BD_etu_notes_S1_C1!C23, 'Base de données'!$C:$C, BD_etu_notes_S1_C1!A23), 0) / IFERROR(SUMIFS('Base de données'!$E:$E, 'Base de données'!A:A, BD_etu_notes_S1_C1!C23, 'Base de données'!$C:$C, BD_etu_notes_S1_C1!A23), 0),0)</f>
        <v>10</v>
      </c>
      <c r="F23" t="str">
        <f t="shared" si="0"/>
        <v/>
      </c>
    </row>
    <row r="24" spans="1:6" ht="16" x14ac:dyDescent="0.2">
      <c r="A24" s="10" t="str">
        <f>_xlfn.XLOOKUP(B24,'Semestre 1'!$D$3:$D$20,'Semestre 1'!$B$3:$B$20,"introuvable")</f>
        <v>Bases de la programmation 1</v>
      </c>
      <c r="B24" s="10" t="s">
        <v>70</v>
      </c>
      <c r="C24" s="141" t="s">
        <v>5</v>
      </c>
      <c r="D24" s="10">
        <f>_xlfn.XLOOKUP(B24,'Semestre 1'!$D$3:$D$20,'Semestre 1'!$C$3:$C$20, "introuvable")</f>
        <v>20</v>
      </c>
      <c r="E24" s="10">
        <f>IFERROR(IFERROR(SUMIFS('Base de données'!$G:$G, 'Base de données'!A:A, BD_etu_notes_S1_C1!C24, 'Base de données'!$C:$C, BD_etu_notes_S1_C1!A24), 0) / IFERROR(SUMIFS('Base de données'!$E:$E, 'Base de données'!A:A, BD_etu_notes_S1_C1!C24, 'Base de données'!$C:$C, BD_etu_notes_S1_C1!A24), 0),0)</f>
        <v>12.5</v>
      </c>
      <c r="F24" t="str">
        <f t="shared" si="0"/>
        <v/>
      </c>
    </row>
    <row r="25" spans="1:6" ht="16" x14ac:dyDescent="0.2">
      <c r="A25" s="10" t="str">
        <f>_xlfn.XLOOKUP(B25,'Semestre 1'!$D$3:$D$20,'Semestre 1'!$B$3:$B$20,"introuvable")</f>
        <v>Bases de la programmation 1</v>
      </c>
      <c r="B25" s="10" t="s">
        <v>70</v>
      </c>
      <c r="C25" s="141" t="s">
        <v>9</v>
      </c>
      <c r="D25" s="10">
        <f>_xlfn.XLOOKUP(B25,'Semestre 1'!$D$3:$D$20,'Semestre 1'!$C$3:$C$20, "introuvable")</f>
        <v>20</v>
      </c>
      <c r="E25" s="10">
        <f>IFERROR(IFERROR(SUMIFS('Base de données'!$G:$G, 'Base de données'!A:A, BD_etu_notes_S1_C1!C25, 'Base de données'!$C:$C, BD_etu_notes_S1_C1!A25), 0) / IFERROR(SUMIFS('Base de données'!$E:$E, 'Base de données'!A:A, BD_etu_notes_S1_C1!C25, 'Base de données'!$C:$C, BD_etu_notes_S1_C1!A25), 0),0)</f>
        <v>10</v>
      </c>
      <c r="F25" t="str">
        <f t="shared" si="0"/>
        <v/>
      </c>
    </row>
    <row r="26" spans="1:6" ht="16" x14ac:dyDescent="0.2">
      <c r="A26" s="10" t="str">
        <f>_xlfn.XLOOKUP(B26,'Semestre 1'!$D$3:$D$20,'Semestre 1'!$B$3:$B$20,"introuvable")</f>
        <v>Bases de la programmation 1</v>
      </c>
      <c r="B26" s="10" t="s">
        <v>70</v>
      </c>
      <c r="C26" s="141" t="s">
        <v>11</v>
      </c>
      <c r="D26" s="10">
        <f>_xlfn.XLOOKUP(B26,'Semestre 1'!$D$3:$D$20,'Semestre 1'!$C$3:$C$20, "introuvable")</f>
        <v>20</v>
      </c>
      <c r="E26" s="10">
        <f>IFERROR(IFERROR(SUMIFS('Base de données'!$G:$G, 'Base de données'!A:A, BD_etu_notes_S1_C1!C26, 'Base de données'!$C:$C, BD_etu_notes_S1_C1!A26), 0) / IFERROR(SUMIFS('Base de données'!$E:$E, 'Base de données'!A:A, BD_etu_notes_S1_C1!C26, 'Base de données'!$C:$C, BD_etu_notes_S1_C1!A26), 0),0)</f>
        <v>14</v>
      </c>
      <c r="F26" t="str">
        <f t="shared" si="0"/>
        <v/>
      </c>
    </row>
    <row r="27" spans="1:6" ht="16" x14ac:dyDescent="0.2">
      <c r="A27" s="10" t="str">
        <f>_xlfn.XLOOKUP(B27,'Semestre 1'!$D$3:$D$20,'Semestre 1'!$B$3:$B$20,"introuvable")</f>
        <v>Bases de la programmation 1</v>
      </c>
      <c r="B27" s="10" t="s">
        <v>70</v>
      </c>
      <c r="C27" s="141" t="s">
        <v>14</v>
      </c>
      <c r="D27" s="10">
        <f>_xlfn.XLOOKUP(B27,'Semestre 1'!$D$3:$D$20,'Semestre 1'!$C$3:$C$20, "introuvable")</f>
        <v>20</v>
      </c>
      <c r="E27" s="10">
        <f>IFERROR(IFERROR(SUMIFS('Base de données'!$G:$G, 'Base de données'!A:A, BD_etu_notes_S1_C1!C27, 'Base de données'!$C:$C, BD_etu_notes_S1_C1!A27), 0) / IFERROR(SUMIFS('Base de données'!$E:$E, 'Base de données'!A:A, BD_etu_notes_S1_C1!C27, 'Base de données'!$C:$C, BD_etu_notes_S1_C1!A27), 0),0)</f>
        <v>8.5</v>
      </c>
      <c r="F27" t="str">
        <f t="shared" si="0"/>
        <v/>
      </c>
    </row>
    <row r="28" spans="1:6" ht="16" x14ac:dyDescent="0.2">
      <c r="A28" s="10" t="str">
        <f>_xlfn.XLOOKUP(B28,'Semestre 1'!$D$3:$D$20,'Semestre 1'!$B$3:$B$20,"introuvable")</f>
        <v>Bases de la programmation 1</v>
      </c>
      <c r="B28" s="10" t="s">
        <v>70</v>
      </c>
      <c r="C28" s="141" t="s">
        <v>16</v>
      </c>
      <c r="D28" s="10">
        <f>_xlfn.XLOOKUP(B28,'Semestre 1'!$D$3:$D$20,'Semestre 1'!$C$3:$C$20, "introuvable")</f>
        <v>20</v>
      </c>
      <c r="E28" s="10">
        <f>IFERROR(IFERROR(SUMIFS('Base de données'!$G:$G, 'Base de données'!A:A, BD_etu_notes_S1_C1!C28, 'Base de données'!$C:$C, BD_etu_notes_S1_C1!A28), 0) / IFERROR(SUMIFS('Base de données'!$E:$E, 'Base de données'!A:A, BD_etu_notes_S1_C1!C28, 'Base de données'!$C:$C, BD_etu_notes_S1_C1!A28), 0),0)</f>
        <v>13</v>
      </c>
      <c r="F28" t="str">
        <f t="shared" si="0"/>
        <v/>
      </c>
    </row>
    <row r="29" spans="1:6" ht="16" x14ac:dyDescent="0.2">
      <c r="A29" s="10" t="str">
        <f>_xlfn.XLOOKUP(B29,'Semestre 1'!$D$3:$D$20,'Semestre 1'!$B$3:$B$20,"introuvable")</f>
        <v>Bases de la programmation 1</v>
      </c>
      <c r="B29" s="10" t="s">
        <v>70</v>
      </c>
      <c r="C29" s="141" t="s">
        <v>19</v>
      </c>
      <c r="D29" s="10">
        <f>_xlfn.XLOOKUP(B29,'Semestre 1'!$D$3:$D$20,'Semestre 1'!$C$3:$C$20, "introuvable")</f>
        <v>20</v>
      </c>
      <c r="E29" s="10">
        <f>IFERROR(IFERROR(SUMIFS('Base de données'!$G:$G, 'Base de données'!A:A, BD_etu_notes_S1_C1!C29, 'Base de données'!$C:$C, BD_etu_notes_S1_C1!A29), 0) / IFERROR(SUMIFS('Base de données'!$E:$E, 'Base de données'!A:A, BD_etu_notes_S1_C1!C29, 'Base de données'!$C:$C, BD_etu_notes_S1_C1!A29), 0),0)</f>
        <v>16.5</v>
      </c>
      <c r="F29" t="str">
        <f t="shared" si="0"/>
        <v/>
      </c>
    </row>
    <row r="30" spans="1:6" ht="16" x14ac:dyDescent="0.2">
      <c r="A30" s="10" t="str">
        <f>_xlfn.XLOOKUP(B30,'Semestre 1'!$D$3:$D$20,'Semestre 1'!$B$3:$B$20,"introuvable")</f>
        <v>Bases de la programmation 1</v>
      </c>
      <c r="B30" s="10" t="s">
        <v>70</v>
      </c>
      <c r="C30" s="141" t="s">
        <v>21</v>
      </c>
      <c r="D30" s="10">
        <f>_xlfn.XLOOKUP(B30,'Semestre 1'!$D$3:$D$20,'Semestre 1'!$C$3:$C$20, "introuvable")</f>
        <v>20</v>
      </c>
      <c r="E30" s="10">
        <f>IFERROR(IFERROR(SUMIFS('Base de données'!$G:$G, 'Base de données'!A:A, BD_etu_notes_S1_C1!C30, 'Base de données'!$C:$C, BD_etu_notes_S1_C1!A30), 0) / IFERROR(SUMIFS('Base de données'!$E:$E, 'Base de données'!A:A, BD_etu_notes_S1_C1!C30, 'Base de données'!$C:$C, BD_etu_notes_S1_C1!A30), 0),0)</f>
        <v>11</v>
      </c>
      <c r="F30" t="str">
        <f t="shared" si="0"/>
        <v/>
      </c>
    </row>
    <row r="31" spans="1:6" ht="16" x14ac:dyDescent="0.2">
      <c r="A31" s="10" t="str">
        <f>_xlfn.XLOOKUP(B31,'Semestre 1'!$D$3:$D$20,'Semestre 1'!$B$3:$B$20,"introuvable")</f>
        <v>Bases de la programmation 1</v>
      </c>
      <c r="B31" s="10" t="s">
        <v>70</v>
      </c>
      <c r="C31" s="141" t="s">
        <v>24</v>
      </c>
      <c r="D31" s="10">
        <f>_xlfn.XLOOKUP(B31,'Semestre 1'!$D$3:$D$20,'Semestre 1'!$C$3:$C$20, "introuvable")</f>
        <v>20</v>
      </c>
      <c r="E31" s="10">
        <f>IFERROR(IFERROR(SUMIFS('Base de données'!$G:$G, 'Base de données'!A:A, BD_etu_notes_S1_C1!C31, 'Base de données'!$C:$C, BD_etu_notes_S1_C1!A31), 0) / IFERROR(SUMIFS('Base de données'!$E:$E, 'Base de données'!A:A, BD_etu_notes_S1_C1!C31, 'Base de données'!$C:$C, BD_etu_notes_S1_C1!A31), 0),0)</f>
        <v>13.5</v>
      </c>
      <c r="F31" t="str">
        <f t="shared" si="0"/>
        <v/>
      </c>
    </row>
    <row r="32" spans="1:6" ht="16" x14ac:dyDescent="0.2">
      <c r="A32" s="10" t="str">
        <f>_xlfn.XLOOKUP(B32,'Semestre 1'!$D$3:$D$20,'Semestre 1'!$B$3:$B$20,"introuvable")</f>
        <v>Bases de la programmation 1</v>
      </c>
      <c r="B32" s="10" t="s">
        <v>70</v>
      </c>
      <c r="C32" s="141" t="s">
        <v>26</v>
      </c>
      <c r="D32" s="10">
        <f>_xlfn.XLOOKUP(B32,'Semestre 1'!$D$3:$D$20,'Semestre 1'!$C$3:$C$20, "introuvable")</f>
        <v>20</v>
      </c>
      <c r="E32" s="10">
        <f>IFERROR(IFERROR(SUMIFS('Base de données'!$G:$G, 'Base de données'!A:A, BD_etu_notes_S1_C1!C32, 'Base de données'!$C:$C, BD_etu_notes_S1_C1!A32), 0) / IFERROR(SUMIFS('Base de données'!$E:$E, 'Base de données'!A:A, BD_etu_notes_S1_C1!C32, 'Base de données'!$C:$C, BD_etu_notes_S1_C1!A32), 0),0)</f>
        <v>9.5</v>
      </c>
      <c r="F32" t="str">
        <f t="shared" si="0"/>
        <v/>
      </c>
    </row>
    <row r="33" spans="1:6" ht="16" x14ac:dyDescent="0.2">
      <c r="A33" s="10" t="str">
        <f>_xlfn.XLOOKUP(B33,'Semestre 1'!$D$3:$D$20,'Semestre 1'!$B$3:$B$20,"introuvable")</f>
        <v>Bases de la programmation 1</v>
      </c>
      <c r="B33" s="10" t="s">
        <v>70</v>
      </c>
      <c r="C33" s="141" t="s">
        <v>29</v>
      </c>
      <c r="D33" s="10">
        <f>_xlfn.XLOOKUP(B33,'Semestre 1'!$D$3:$D$20,'Semestre 1'!$C$3:$C$20, "introuvable")</f>
        <v>20</v>
      </c>
      <c r="E33" s="10">
        <f>IFERROR(IFERROR(SUMIFS('Base de données'!$G:$G, 'Base de données'!A:A, BD_etu_notes_S1_C1!C33, 'Base de données'!$C:$C, BD_etu_notes_S1_C1!A33), 0) / IFERROR(SUMIFS('Base de données'!$E:$E, 'Base de données'!A:A, BD_etu_notes_S1_C1!C33, 'Base de données'!$C:$C, BD_etu_notes_S1_C1!A33), 0),0)</f>
        <v>12.5</v>
      </c>
      <c r="F33" t="str">
        <f t="shared" si="0"/>
        <v/>
      </c>
    </row>
    <row r="34" spans="1:6" ht="16" x14ac:dyDescent="0.2">
      <c r="A34" s="10" t="str">
        <f>_xlfn.XLOOKUP(B34,'Semestre 1'!$D$3:$D$20,'Semestre 1'!$B$3:$B$20,"introuvable")</f>
        <v xml:space="preserve">SAÉ - Reporting à partir de données stockées dans un SGBD relationnel </v>
      </c>
      <c r="B34" s="10" t="s">
        <v>72</v>
      </c>
      <c r="C34" s="141" t="s">
        <v>5</v>
      </c>
      <c r="D34" s="10">
        <f>_xlfn.XLOOKUP(B34,'Semestre 1'!$D$3:$D$20,'Semestre 1'!$C$3:$C$20, "introuvable")</f>
        <v>30</v>
      </c>
      <c r="E34" s="10">
        <f>IFERROR(IFERROR(SUMIFS('Base de données'!$G:$G, 'Base de données'!A:A, BD_etu_notes_S1_C1!C34, 'Base de données'!$C:$C, BD_etu_notes_S1_C1!A34), 0) / IFERROR(SUMIFS('Base de données'!$E:$E, 'Base de données'!A:A, BD_etu_notes_S1_C1!C34, 'Base de données'!$C:$C, BD_etu_notes_S1_C1!A34), 0),0)</f>
        <v>14.5</v>
      </c>
      <c r="F34" t="str">
        <f t="shared" si="0"/>
        <v/>
      </c>
    </row>
    <row r="35" spans="1:6" ht="16" x14ac:dyDescent="0.2">
      <c r="A35" s="10" t="str">
        <f>_xlfn.XLOOKUP(B35,'Semestre 1'!$D$3:$D$20,'Semestre 1'!$B$3:$B$20,"introuvable")</f>
        <v xml:space="preserve">SAÉ - Reporting à partir de données stockées dans un SGBD relationnel </v>
      </c>
      <c r="B35" s="10" t="s">
        <v>72</v>
      </c>
      <c r="C35" s="141" t="s">
        <v>9</v>
      </c>
      <c r="D35" s="10">
        <f>_xlfn.XLOOKUP(B35,'Semestre 1'!$D$3:$D$20,'Semestre 1'!$C$3:$C$20, "introuvable")</f>
        <v>30</v>
      </c>
      <c r="E35" s="10">
        <f>IFERROR(IFERROR(SUMIFS('Base de données'!$G:$G, 'Base de données'!A:A, BD_etu_notes_S1_C1!C35, 'Base de données'!$C:$C, BD_etu_notes_S1_C1!A35), 0) / IFERROR(SUMIFS('Base de données'!$E:$E, 'Base de données'!A:A, BD_etu_notes_S1_C1!C35, 'Base de données'!$C:$C, BD_etu_notes_S1_C1!A35), 0),0)</f>
        <v>16</v>
      </c>
      <c r="F35" t="str">
        <f t="shared" si="0"/>
        <v/>
      </c>
    </row>
    <row r="36" spans="1:6" ht="16" x14ac:dyDescent="0.2">
      <c r="A36" s="10" t="str">
        <f>_xlfn.XLOOKUP(B36,'Semestre 1'!$D$3:$D$20,'Semestre 1'!$B$3:$B$20,"introuvable")</f>
        <v xml:space="preserve">SAÉ - Reporting à partir de données stockées dans un SGBD relationnel </v>
      </c>
      <c r="B36" s="10" t="s">
        <v>72</v>
      </c>
      <c r="C36" s="141" t="s">
        <v>11</v>
      </c>
      <c r="D36" s="10">
        <f>_xlfn.XLOOKUP(B36,'Semestre 1'!$D$3:$D$20,'Semestre 1'!$C$3:$C$20, "introuvable")</f>
        <v>30</v>
      </c>
      <c r="E36" s="10">
        <f>IFERROR(IFERROR(SUMIFS('Base de données'!$G:$G, 'Base de données'!A:A, BD_etu_notes_S1_C1!C36, 'Base de données'!$C:$C, BD_etu_notes_S1_C1!A36), 0) / IFERROR(SUMIFS('Base de données'!$E:$E, 'Base de données'!A:A, BD_etu_notes_S1_C1!C36, 'Base de données'!$C:$C, BD_etu_notes_S1_C1!A36), 0),0)</f>
        <v>18</v>
      </c>
      <c r="F36" t="str">
        <f t="shared" si="0"/>
        <v/>
      </c>
    </row>
    <row r="37" spans="1:6" ht="16" x14ac:dyDescent="0.2">
      <c r="A37" s="10" t="str">
        <f>_xlfn.XLOOKUP(B37,'Semestre 1'!$D$3:$D$20,'Semestre 1'!$B$3:$B$20,"introuvable")</f>
        <v xml:space="preserve">SAÉ - Reporting à partir de données stockées dans un SGBD relationnel </v>
      </c>
      <c r="B37" s="10" t="s">
        <v>72</v>
      </c>
      <c r="C37" s="141" t="s">
        <v>14</v>
      </c>
      <c r="D37" s="10">
        <f>_xlfn.XLOOKUP(B37,'Semestre 1'!$D$3:$D$20,'Semestre 1'!$C$3:$C$20, "introuvable")</f>
        <v>30</v>
      </c>
      <c r="E37" s="10">
        <f>IFERROR(IFERROR(SUMIFS('Base de données'!$G:$G, 'Base de données'!A:A, BD_etu_notes_S1_C1!C37, 'Base de données'!$C:$C, BD_etu_notes_S1_C1!A37), 0) / IFERROR(SUMIFS('Base de données'!$E:$E, 'Base de données'!A:A, BD_etu_notes_S1_C1!C37, 'Base de données'!$C:$C, BD_etu_notes_S1_C1!A37), 0),0)</f>
        <v>15.5</v>
      </c>
      <c r="F37" t="str">
        <f t="shared" si="0"/>
        <v/>
      </c>
    </row>
    <row r="38" spans="1:6" ht="16" x14ac:dyDescent="0.2">
      <c r="A38" s="10" t="str">
        <f>_xlfn.XLOOKUP(B38,'Semestre 1'!$D$3:$D$20,'Semestre 1'!$B$3:$B$20,"introuvable")</f>
        <v xml:space="preserve">SAÉ - Reporting à partir de données stockées dans un SGBD relationnel </v>
      </c>
      <c r="B38" s="10" t="s">
        <v>72</v>
      </c>
      <c r="C38" s="141" t="s">
        <v>16</v>
      </c>
      <c r="D38" s="10">
        <f>_xlfn.XLOOKUP(B38,'Semestre 1'!$D$3:$D$20,'Semestre 1'!$C$3:$C$20, "introuvable")</f>
        <v>30</v>
      </c>
      <c r="E38" s="10">
        <f>IFERROR(IFERROR(SUMIFS('Base de données'!$G:$G, 'Base de données'!A:A, BD_etu_notes_S1_C1!C38, 'Base de données'!$C:$C, BD_etu_notes_S1_C1!A38), 0) / IFERROR(SUMIFS('Base de données'!$E:$E, 'Base de données'!A:A, BD_etu_notes_S1_C1!C38, 'Base de données'!$C:$C, BD_etu_notes_S1_C1!A38), 0),0)</f>
        <v>20</v>
      </c>
      <c r="F38" t="str">
        <f t="shared" si="0"/>
        <v/>
      </c>
    </row>
    <row r="39" spans="1:6" ht="16" x14ac:dyDescent="0.2">
      <c r="A39" s="10" t="str">
        <f>_xlfn.XLOOKUP(B39,'Semestre 1'!$D$3:$D$20,'Semestre 1'!$B$3:$B$20,"introuvable")</f>
        <v xml:space="preserve">SAÉ - Reporting à partir de données stockées dans un SGBD relationnel </v>
      </c>
      <c r="B39" s="10" t="s">
        <v>72</v>
      </c>
      <c r="C39" s="141" t="s">
        <v>19</v>
      </c>
      <c r="D39" s="10">
        <f>_xlfn.XLOOKUP(B39,'Semestre 1'!$D$3:$D$20,'Semestre 1'!$C$3:$C$20, "introuvable")</f>
        <v>30</v>
      </c>
      <c r="E39" s="10">
        <f>IFERROR(IFERROR(SUMIFS('Base de données'!$G:$G, 'Base de données'!A:A, BD_etu_notes_S1_C1!C39, 'Base de données'!$C:$C, BD_etu_notes_S1_C1!A39), 0) / IFERROR(SUMIFS('Base de données'!$E:$E, 'Base de données'!A:A, BD_etu_notes_S1_C1!C39, 'Base de données'!$C:$C, BD_etu_notes_S1_C1!A39), 0),0)</f>
        <v>14.5</v>
      </c>
      <c r="F39" t="str">
        <f t="shared" si="0"/>
        <v/>
      </c>
    </row>
    <row r="40" spans="1:6" ht="16" x14ac:dyDescent="0.2">
      <c r="A40" s="10" t="str">
        <f>_xlfn.XLOOKUP(B40,'Semestre 1'!$D$3:$D$20,'Semestre 1'!$B$3:$B$20,"introuvable")</f>
        <v xml:space="preserve">SAÉ - Reporting à partir de données stockées dans un SGBD relationnel </v>
      </c>
      <c r="B40" s="10" t="s">
        <v>72</v>
      </c>
      <c r="C40" s="141" t="s">
        <v>21</v>
      </c>
      <c r="D40" s="10">
        <f>_xlfn.XLOOKUP(B40,'Semestre 1'!$D$3:$D$20,'Semestre 1'!$C$3:$C$20, "introuvable")</f>
        <v>30</v>
      </c>
      <c r="E40" s="10">
        <f>IFERROR(IFERROR(SUMIFS('Base de données'!$G:$G, 'Base de données'!A:A, BD_etu_notes_S1_C1!C40, 'Base de données'!$C:$C, BD_etu_notes_S1_C1!A40), 0) / IFERROR(SUMIFS('Base de données'!$E:$E, 'Base de données'!A:A, BD_etu_notes_S1_C1!C40, 'Base de données'!$C:$C, BD_etu_notes_S1_C1!A40), 0),0)</f>
        <v>17</v>
      </c>
      <c r="F40" t="str">
        <f t="shared" si="0"/>
        <v/>
      </c>
    </row>
    <row r="41" spans="1:6" ht="16" x14ac:dyDescent="0.2">
      <c r="A41" s="10" t="str">
        <f>_xlfn.XLOOKUP(B41,'Semestre 1'!$D$3:$D$20,'Semestre 1'!$B$3:$B$20,"introuvable")</f>
        <v xml:space="preserve">SAÉ - Reporting à partir de données stockées dans un SGBD relationnel </v>
      </c>
      <c r="B41" s="10" t="s">
        <v>72</v>
      </c>
      <c r="C41" s="141" t="s">
        <v>24</v>
      </c>
      <c r="D41" s="10">
        <f>_xlfn.XLOOKUP(B41,'Semestre 1'!$D$3:$D$20,'Semestre 1'!$C$3:$C$20, "introuvable")</f>
        <v>30</v>
      </c>
      <c r="E41" s="10">
        <f>IFERROR(IFERROR(SUMIFS('Base de données'!$G:$G, 'Base de données'!A:A, BD_etu_notes_S1_C1!C41, 'Base de données'!$C:$C, BD_etu_notes_S1_C1!A41), 0) / IFERROR(SUMIFS('Base de données'!$E:$E, 'Base de données'!A:A, BD_etu_notes_S1_C1!C41, 'Base de données'!$C:$C, BD_etu_notes_S1_C1!A41), 0),0)</f>
        <v>15.5</v>
      </c>
      <c r="F41" t="str">
        <f t="shared" ref="F41:F63" si="1">B133 &amp; C133</f>
        <v/>
      </c>
    </row>
    <row r="42" spans="1:6" ht="16" x14ac:dyDescent="0.2">
      <c r="A42" s="10" t="str">
        <f>_xlfn.XLOOKUP(B42,'Semestre 1'!$D$3:$D$20,'Semestre 1'!$B$3:$B$20,"introuvable")</f>
        <v xml:space="preserve">SAÉ - Reporting à partir de données stockées dans un SGBD relationnel </v>
      </c>
      <c r="B42" s="10" t="s">
        <v>72</v>
      </c>
      <c r="C42" s="141" t="s">
        <v>26</v>
      </c>
      <c r="D42" s="10">
        <f>_xlfn.XLOOKUP(B42,'Semestre 1'!$D$3:$D$20,'Semestre 1'!$C$3:$C$20, "introuvable")</f>
        <v>30</v>
      </c>
      <c r="E42" s="10">
        <f>IFERROR(IFERROR(SUMIFS('Base de données'!$G:$G, 'Base de données'!A:A, BD_etu_notes_S1_C1!C42, 'Base de données'!$C:$C, BD_etu_notes_S1_C1!A42), 0) / IFERROR(SUMIFS('Base de données'!$E:$E, 'Base de données'!A:A, BD_etu_notes_S1_C1!C42, 'Base de données'!$C:$C, BD_etu_notes_S1_C1!A42), 0),0)</f>
        <v>11.5</v>
      </c>
      <c r="F42" t="str">
        <f t="shared" si="1"/>
        <v/>
      </c>
    </row>
    <row r="43" spans="1:6" ht="16" x14ac:dyDescent="0.2">
      <c r="A43" s="10" t="str">
        <f>_xlfn.XLOOKUP(B43,'Semestre 1'!$D$3:$D$20,'Semestre 1'!$B$3:$B$20,"introuvable")</f>
        <v xml:space="preserve">SAÉ - Reporting à partir de données stockées dans un SGBD relationnel </v>
      </c>
      <c r="B43" s="10" t="s">
        <v>72</v>
      </c>
      <c r="C43" s="141" t="s">
        <v>29</v>
      </c>
      <c r="D43" s="10">
        <f>_xlfn.XLOOKUP(B43,'Semestre 1'!$D$3:$D$20,'Semestre 1'!$C$3:$C$20, "introuvable")</f>
        <v>30</v>
      </c>
      <c r="E43" s="10">
        <f>IFERROR(IFERROR(SUMIFS('Base de données'!$G:$G, 'Base de données'!A:A, BD_etu_notes_S1_C1!C43, 'Base de données'!$C:$C, BD_etu_notes_S1_C1!A43), 0) / IFERROR(SUMIFS('Base de données'!$E:$E, 'Base de données'!A:A, BD_etu_notes_S1_C1!C43, 'Base de données'!$C:$C, BD_etu_notes_S1_C1!A43), 0),0)</f>
        <v>18</v>
      </c>
      <c r="F43" t="str">
        <f t="shared" si="1"/>
        <v/>
      </c>
    </row>
    <row r="44" spans="1:6" ht="16" x14ac:dyDescent="0.2">
      <c r="A44" s="10" t="str">
        <f>_xlfn.XLOOKUP(B44,'Semestre 1'!$D$3:$D$20,'Semestre 1'!$B$3:$B$20,"introuvable")</f>
        <v>SAÉ - Écriture et lecture de fichiers de données</v>
      </c>
      <c r="B44" s="10" t="s">
        <v>74</v>
      </c>
      <c r="C44" s="141" t="s">
        <v>5</v>
      </c>
      <c r="D44" s="10">
        <f>_xlfn.XLOOKUP(B44,'Semestre 1'!$D$3:$D$20,'Semestre 1'!$C$3:$C$20, "introuvable")</f>
        <v>10</v>
      </c>
      <c r="E44" s="10">
        <f>IFERROR(IFERROR(SUMIFS('Base de données'!$G:$G, 'Base de données'!A:A, BD_etu_notes_S1_C1!C44, 'Base de données'!$C:$C, BD_etu_notes_S1_C1!A44), 0) / IFERROR(SUMIFS('Base de données'!$E:$E, 'Base de données'!A:A, BD_etu_notes_S1_C1!C44, 'Base de données'!$C:$C, BD_etu_notes_S1_C1!A44), 0),0)</f>
        <v>0</v>
      </c>
      <c r="F44" t="str">
        <f t="shared" si="1"/>
        <v/>
      </c>
    </row>
    <row r="45" spans="1:6" ht="16" x14ac:dyDescent="0.2">
      <c r="A45" s="10" t="str">
        <f>_xlfn.XLOOKUP(B45,'Semestre 1'!$D$3:$D$20,'Semestre 1'!$B$3:$B$20,"introuvable")</f>
        <v>SAÉ - Écriture et lecture de fichiers de données</v>
      </c>
      <c r="B45" s="10" t="s">
        <v>74</v>
      </c>
      <c r="C45" s="141" t="s">
        <v>9</v>
      </c>
      <c r="D45" s="10">
        <f>_xlfn.XLOOKUP(B45,'Semestre 1'!$D$3:$D$20,'Semestre 1'!$C$3:$C$20, "introuvable")</f>
        <v>10</v>
      </c>
      <c r="E45" s="10">
        <f>IFERROR(IFERROR(SUMIFS('Base de données'!$G:$G, 'Base de données'!A:A, BD_etu_notes_S1_C1!C45, 'Base de données'!$C:$C, BD_etu_notes_S1_C1!A45), 0) / IFERROR(SUMIFS('Base de données'!$E:$E, 'Base de données'!A:A, BD_etu_notes_S1_C1!C45, 'Base de données'!$C:$C, BD_etu_notes_S1_C1!A45), 0),0)</f>
        <v>0</v>
      </c>
      <c r="F45" t="str">
        <f t="shared" si="1"/>
        <v/>
      </c>
    </row>
    <row r="46" spans="1:6" ht="16" x14ac:dyDescent="0.2">
      <c r="A46" s="10" t="str">
        <f>_xlfn.XLOOKUP(B46,'Semestre 1'!$D$3:$D$20,'Semestre 1'!$B$3:$B$20,"introuvable")</f>
        <v>SAÉ - Écriture et lecture de fichiers de données</v>
      </c>
      <c r="B46" s="10" t="s">
        <v>74</v>
      </c>
      <c r="C46" s="141" t="s">
        <v>11</v>
      </c>
      <c r="D46" s="10">
        <f>_xlfn.XLOOKUP(B46,'Semestre 1'!$D$3:$D$20,'Semestre 1'!$C$3:$C$20, "introuvable")</f>
        <v>10</v>
      </c>
      <c r="E46" s="10">
        <f>IFERROR(IFERROR(SUMIFS('Base de données'!$G:$G, 'Base de données'!A:A, BD_etu_notes_S1_C1!C46, 'Base de données'!$C:$C, BD_etu_notes_S1_C1!A46), 0) / IFERROR(SUMIFS('Base de données'!$E:$E, 'Base de données'!A:A, BD_etu_notes_S1_C1!C46, 'Base de données'!$C:$C, BD_etu_notes_S1_C1!A46), 0),0)</f>
        <v>0</v>
      </c>
      <c r="F46" t="str">
        <f t="shared" si="1"/>
        <v/>
      </c>
    </row>
    <row r="47" spans="1:6" ht="16" x14ac:dyDescent="0.2">
      <c r="A47" s="10" t="str">
        <f>_xlfn.XLOOKUP(B47,'Semestre 1'!$D$3:$D$20,'Semestre 1'!$B$3:$B$20,"introuvable")</f>
        <v>SAÉ - Écriture et lecture de fichiers de données</v>
      </c>
      <c r="B47" s="10" t="s">
        <v>74</v>
      </c>
      <c r="C47" s="141" t="s">
        <v>14</v>
      </c>
      <c r="D47" s="10">
        <f>_xlfn.XLOOKUP(B47,'Semestre 1'!$D$3:$D$20,'Semestre 1'!$C$3:$C$20, "introuvable")</f>
        <v>10</v>
      </c>
      <c r="E47" s="10">
        <f>IFERROR(IFERROR(SUMIFS('Base de données'!$G:$G, 'Base de données'!A:A, BD_etu_notes_S1_C1!C47, 'Base de données'!$C:$C, BD_etu_notes_S1_C1!A47), 0) / IFERROR(SUMIFS('Base de données'!$E:$E, 'Base de données'!A:A, BD_etu_notes_S1_C1!C47, 'Base de données'!$C:$C, BD_etu_notes_S1_C1!A47), 0),0)</f>
        <v>0</v>
      </c>
      <c r="F47" t="str">
        <f t="shared" si="1"/>
        <v/>
      </c>
    </row>
    <row r="48" spans="1:6" ht="16" x14ac:dyDescent="0.2">
      <c r="A48" s="10" t="str">
        <f>_xlfn.XLOOKUP(B48,'Semestre 1'!$D$3:$D$20,'Semestre 1'!$B$3:$B$20,"introuvable")</f>
        <v>SAÉ - Écriture et lecture de fichiers de données</v>
      </c>
      <c r="B48" s="10" t="s">
        <v>74</v>
      </c>
      <c r="C48" s="141" t="s">
        <v>16</v>
      </c>
      <c r="D48" s="10">
        <f>_xlfn.XLOOKUP(B48,'Semestre 1'!$D$3:$D$20,'Semestre 1'!$C$3:$C$20, "introuvable")</f>
        <v>10</v>
      </c>
      <c r="E48" s="10">
        <f>IFERROR(IFERROR(SUMIFS('Base de données'!$G:$G, 'Base de données'!A:A, BD_etu_notes_S1_C1!C48, 'Base de données'!$C:$C, BD_etu_notes_S1_C1!A48), 0) / IFERROR(SUMIFS('Base de données'!$E:$E, 'Base de données'!A:A, BD_etu_notes_S1_C1!C48, 'Base de données'!$C:$C, BD_etu_notes_S1_C1!A48), 0),0)</f>
        <v>0</v>
      </c>
      <c r="F48" t="str">
        <f t="shared" si="1"/>
        <v/>
      </c>
    </row>
    <row r="49" spans="1:6" ht="16" x14ac:dyDescent="0.2">
      <c r="A49" s="10" t="str">
        <f>_xlfn.XLOOKUP(B49,'Semestre 1'!$D$3:$D$20,'Semestre 1'!$B$3:$B$20,"introuvable")</f>
        <v>SAÉ - Écriture et lecture de fichiers de données</v>
      </c>
      <c r="B49" s="10" t="s">
        <v>74</v>
      </c>
      <c r="C49" s="141" t="s">
        <v>19</v>
      </c>
      <c r="D49" s="10">
        <f>_xlfn.XLOOKUP(B49,'Semestre 1'!$D$3:$D$20,'Semestre 1'!$C$3:$C$20, "introuvable")</f>
        <v>10</v>
      </c>
      <c r="E49" s="10">
        <f>IFERROR(IFERROR(SUMIFS('Base de données'!$G:$G, 'Base de données'!A:A, BD_etu_notes_S1_C1!C49, 'Base de données'!$C:$C, BD_etu_notes_S1_C1!A49), 0) / IFERROR(SUMIFS('Base de données'!$E:$E, 'Base de données'!A:A, BD_etu_notes_S1_C1!C49, 'Base de données'!$C:$C, BD_etu_notes_S1_C1!A49), 0),0)</f>
        <v>0</v>
      </c>
      <c r="F49" t="str">
        <f t="shared" si="1"/>
        <v/>
      </c>
    </row>
    <row r="50" spans="1:6" ht="16" x14ac:dyDescent="0.2">
      <c r="A50" s="10" t="str">
        <f>_xlfn.XLOOKUP(B50,'Semestre 1'!$D$3:$D$20,'Semestre 1'!$B$3:$B$20,"introuvable")</f>
        <v>SAÉ - Écriture et lecture de fichiers de données</v>
      </c>
      <c r="B50" s="10" t="s">
        <v>74</v>
      </c>
      <c r="C50" s="141" t="s">
        <v>21</v>
      </c>
      <c r="D50" s="10">
        <f>_xlfn.XLOOKUP(B50,'Semestre 1'!$D$3:$D$20,'Semestre 1'!$C$3:$C$20, "introuvable")</f>
        <v>10</v>
      </c>
      <c r="E50" s="10">
        <f>IFERROR(IFERROR(SUMIFS('Base de données'!$G:$G, 'Base de données'!A:A, BD_etu_notes_S1_C1!C50, 'Base de données'!$C:$C, BD_etu_notes_S1_C1!A50), 0) / IFERROR(SUMIFS('Base de données'!$E:$E, 'Base de données'!A:A, BD_etu_notes_S1_C1!C50, 'Base de données'!$C:$C, BD_etu_notes_S1_C1!A50), 0),0)</f>
        <v>0</v>
      </c>
      <c r="F50" t="str">
        <f t="shared" si="1"/>
        <v/>
      </c>
    </row>
    <row r="51" spans="1:6" ht="16" x14ac:dyDescent="0.2">
      <c r="A51" s="10" t="str">
        <f>_xlfn.XLOOKUP(B51,'Semestre 1'!$D$3:$D$20,'Semestre 1'!$B$3:$B$20,"introuvable")</f>
        <v>SAÉ - Écriture et lecture de fichiers de données</v>
      </c>
      <c r="B51" s="10" t="s">
        <v>74</v>
      </c>
      <c r="C51" s="141" t="s">
        <v>24</v>
      </c>
      <c r="D51" s="10">
        <f>_xlfn.XLOOKUP(B51,'Semestre 1'!$D$3:$D$20,'Semestre 1'!$C$3:$C$20, "introuvable")</f>
        <v>10</v>
      </c>
      <c r="E51" s="10">
        <f>IFERROR(IFERROR(SUMIFS('Base de données'!$G:$G, 'Base de données'!A:A, BD_etu_notes_S1_C1!C51, 'Base de données'!$C:$C, BD_etu_notes_S1_C1!A51), 0) / IFERROR(SUMIFS('Base de données'!$E:$E, 'Base de données'!A:A, BD_etu_notes_S1_C1!C51, 'Base de données'!$C:$C, BD_etu_notes_S1_C1!A51), 0),0)</f>
        <v>0</v>
      </c>
      <c r="F51" t="str">
        <f t="shared" si="1"/>
        <v/>
      </c>
    </row>
    <row r="52" spans="1:6" ht="16" x14ac:dyDescent="0.2">
      <c r="A52" s="10" t="str">
        <f>_xlfn.XLOOKUP(B52,'Semestre 1'!$D$3:$D$20,'Semestre 1'!$B$3:$B$20,"introuvable")</f>
        <v>SAÉ - Écriture et lecture de fichiers de données</v>
      </c>
      <c r="B52" s="10" t="s">
        <v>74</v>
      </c>
      <c r="C52" s="141" t="s">
        <v>26</v>
      </c>
      <c r="D52" s="10">
        <f>_xlfn.XLOOKUP(B52,'Semestre 1'!$D$3:$D$20,'Semestre 1'!$C$3:$C$20, "introuvable")</f>
        <v>10</v>
      </c>
      <c r="E52" s="10">
        <f>IFERROR(IFERROR(SUMIFS('Base de données'!$G:$G, 'Base de données'!A:A, BD_etu_notes_S1_C1!C52, 'Base de données'!$C:$C, BD_etu_notes_S1_C1!A52), 0) / IFERROR(SUMIFS('Base de données'!$E:$E, 'Base de données'!A:A, BD_etu_notes_S1_C1!C52, 'Base de données'!$C:$C, BD_etu_notes_S1_C1!A52), 0),0)</f>
        <v>0</v>
      </c>
      <c r="F52" t="str">
        <f t="shared" si="1"/>
        <v/>
      </c>
    </row>
    <row r="53" spans="1:6" ht="16" x14ac:dyDescent="0.2">
      <c r="A53" s="10" t="str">
        <f>_xlfn.XLOOKUP(B53,'Semestre 1'!$D$3:$D$20,'Semestre 1'!$B$3:$B$20,"introuvable")</f>
        <v>SAÉ - Écriture et lecture de fichiers de données</v>
      </c>
      <c r="B53" s="10" t="s">
        <v>74</v>
      </c>
      <c r="C53" s="141" t="s">
        <v>29</v>
      </c>
      <c r="D53" s="10">
        <f>_xlfn.XLOOKUP(B53,'Semestre 1'!$D$3:$D$20,'Semestre 1'!$C$3:$C$20, "introuvable")</f>
        <v>10</v>
      </c>
      <c r="E53" s="10">
        <f>IFERROR(IFERROR(SUMIFS('Base de données'!$G:$G, 'Base de données'!A:A, BD_etu_notes_S1_C1!C53, 'Base de données'!$C:$C, BD_etu_notes_S1_C1!A53), 0) / IFERROR(SUMIFS('Base de données'!$E:$E, 'Base de données'!A:A, BD_etu_notes_S1_C1!C53, 'Base de données'!$C:$C, BD_etu_notes_S1_C1!A53), 0),0)</f>
        <v>0</v>
      </c>
      <c r="F53" t="str">
        <f t="shared" si="1"/>
        <v/>
      </c>
    </row>
    <row r="54" spans="1:6" ht="16" x14ac:dyDescent="0.2">
      <c r="A54" s="10" t="s">
        <v>51</v>
      </c>
      <c r="B54" s="10" t="s">
        <v>71</v>
      </c>
      <c r="C54" s="141" t="s">
        <v>5</v>
      </c>
      <c r="D54" s="10">
        <v>5</v>
      </c>
      <c r="E54" s="10">
        <f>IFERROR(IFERROR(SUMIFS('Base de données'!$G:$G, 'Base de données'!A:A, BD_etu_notes_S1_C1!C54, 'Base de données'!$C:$C, BD_etu_notes_S1_C1!A54), 0) / IFERROR(SUMIFS('Base de données'!$E:$E, 'Base de données'!A:A, BD_etu_notes_S1_C1!C54, 'Base de données'!$C:$C, BD_etu_notes_S1_C1!A54), 0),0)</f>
        <v>13.5</v>
      </c>
      <c r="F54" t="str">
        <f t="shared" si="1"/>
        <v/>
      </c>
    </row>
    <row r="55" spans="1:6" ht="16" x14ac:dyDescent="0.2">
      <c r="A55" s="10" t="s">
        <v>51</v>
      </c>
      <c r="B55" s="10" t="s">
        <v>71</v>
      </c>
      <c r="C55" s="141" t="s">
        <v>9</v>
      </c>
      <c r="D55" s="10">
        <v>5</v>
      </c>
      <c r="E55" s="10">
        <f>IFERROR(IFERROR(SUMIFS('Base de données'!$G:$G, 'Base de données'!A:A, BD_etu_notes_S1_C1!C55, 'Base de données'!$C:$C, BD_etu_notes_S1_C1!A55), 0) / IFERROR(SUMIFS('Base de données'!$E:$E, 'Base de données'!A:A, BD_etu_notes_S1_C1!C55, 'Base de données'!$C:$C, BD_etu_notes_S1_C1!A55), 0),0)</f>
        <v>15</v>
      </c>
      <c r="F55" t="str">
        <f t="shared" si="1"/>
        <v/>
      </c>
    </row>
    <row r="56" spans="1:6" ht="16" x14ac:dyDescent="0.2">
      <c r="A56" s="10" t="s">
        <v>51</v>
      </c>
      <c r="B56" s="10" t="s">
        <v>71</v>
      </c>
      <c r="C56" s="141" t="s">
        <v>11</v>
      </c>
      <c r="D56" s="10">
        <v>5</v>
      </c>
      <c r="E56" s="10">
        <f>IFERROR(IFERROR(SUMIFS('Base de données'!$G:$G, 'Base de données'!A:A, BD_etu_notes_S1_C1!C56, 'Base de données'!$C:$C, BD_etu_notes_S1_C1!A56), 0) / IFERROR(SUMIFS('Base de données'!$E:$E, 'Base de données'!A:A, BD_etu_notes_S1_C1!C56, 'Base de données'!$C:$C, BD_etu_notes_S1_C1!A56), 0),0)</f>
        <v>12</v>
      </c>
      <c r="F56" t="str">
        <f t="shared" si="1"/>
        <v/>
      </c>
    </row>
    <row r="57" spans="1:6" ht="16" x14ac:dyDescent="0.2">
      <c r="A57" s="10" t="s">
        <v>51</v>
      </c>
      <c r="B57" s="10" t="s">
        <v>71</v>
      </c>
      <c r="C57" s="141" t="s">
        <v>14</v>
      </c>
      <c r="D57" s="10">
        <v>5</v>
      </c>
      <c r="E57" s="10">
        <f>IFERROR(IFERROR(SUMIFS('Base de données'!$G:$G, 'Base de données'!A:A, BD_etu_notes_S1_C1!C57, 'Base de données'!$C:$C, BD_etu_notes_S1_C1!A57), 0) / IFERROR(SUMIFS('Base de données'!$E:$E, 'Base de données'!A:A, BD_etu_notes_S1_C1!C57, 'Base de données'!$C:$C, BD_etu_notes_S1_C1!A57), 0),0)</f>
        <v>14.5</v>
      </c>
      <c r="F57" t="str">
        <f t="shared" si="1"/>
        <v/>
      </c>
    </row>
    <row r="58" spans="1:6" ht="16" x14ac:dyDescent="0.2">
      <c r="A58" s="10" t="s">
        <v>51</v>
      </c>
      <c r="B58" s="10" t="s">
        <v>71</v>
      </c>
      <c r="C58" s="141" t="s">
        <v>16</v>
      </c>
      <c r="D58" s="10">
        <v>5</v>
      </c>
      <c r="E58" s="10">
        <f>IFERROR(IFERROR(SUMIFS('Base de données'!$G:$G, 'Base de données'!A:A, BD_etu_notes_S1_C1!C58, 'Base de données'!$C:$C, BD_etu_notes_S1_C1!A58), 0) / IFERROR(SUMIFS('Base de données'!$E:$E, 'Base de données'!A:A, BD_etu_notes_S1_C1!C58, 'Base de données'!$C:$C, BD_etu_notes_S1_C1!A58), 0),0)</f>
        <v>12.5</v>
      </c>
      <c r="F58" t="str">
        <f t="shared" si="1"/>
        <v/>
      </c>
    </row>
    <row r="59" spans="1:6" ht="16" x14ac:dyDescent="0.2">
      <c r="A59" s="10" t="s">
        <v>51</v>
      </c>
      <c r="B59" s="10" t="s">
        <v>71</v>
      </c>
      <c r="C59" s="141" t="s">
        <v>19</v>
      </c>
      <c r="D59" s="10">
        <v>5</v>
      </c>
      <c r="E59" s="10">
        <f>IFERROR(IFERROR(SUMIFS('Base de données'!$G:$G, 'Base de données'!A:A, BD_etu_notes_S1_C1!C59, 'Base de données'!$C:$C, BD_etu_notes_S1_C1!A59), 0) / IFERROR(SUMIFS('Base de données'!$E:$E, 'Base de données'!A:A, BD_etu_notes_S1_C1!C59, 'Base de données'!$C:$C, BD_etu_notes_S1_C1!A59), 0),0)</f>
        <v>11.5</v>
      </c>
      <c r="F59" t="str">
        <f t="shared" si="1"/>
        <v/>
      </c>
    </row>
    <row r="60" spans="1:6" ht="16" x14ac:dyDescent="0.2">
      <c r="A60" s="10" t="s">
        <v>51</v>
      </c>
      <c r="B60" s="10" t="s">
        <v>71</v>
      </c>
      <c r="C60" s="141" t="s">
        <v>21</v>
      </c>
      <c r="D60" s="10">
        <v>5</v>
      </c>
      <c r="E60" s="10">
        <f>IFERROR(IFERROR(SUMIFS('Base de données'!$G:$G, 'Base de données'!A:A, BD_etu_notes_S1_C1!C60, 'Base de données'!$C:$C, BD_etu_notes_S1_C1!A60), 0) / IFERROR(SUMIFS('Base de données'!$E:$E, 'Base de données'!A:A, BD_etu_notes_S1_C1!C60, 'Base de données'!$C:$C, BD_etu_notes_S1_C1!A60), 0),0)</f>
        <v>16</v>
      </c>
      <c r="F60" t="str">
        <f t="shared" si="1"/>
        <v/>
      </c>
    </row>
    <row r="61" spans="1:6" ht="16" x14ac:dyDescent="0.2">
      <c r="A61" s="10" t="s">
        <v>51</v>
      </c>
      <c r="B61" s="10" t="s">
        <v>71</v>
      </c>
      <c r="C61" s="141" t="s">
        <v>24</v>
      </c>
      <c r="D61" s="10">
        <v>5</v>
      </c>
      <c r="E61" s="10">
        <f>IFERROR(IFERROR(SUMIFS('Base de données'!$G:$G, 'Base de données'!A:A, BD_etu_notes_S1_C1!C61, 'Base de données'!$C:$C, BD_etu_notes_S1_C1!A61), 0) / IFERROR(SUMIFS('Base de données'!$E:$E, 'Base de données'!A:A, BD_etu_notes_S1_C1!C61, 'Base de données'!$C:$C, BD_etu_notes_S1_C1!A61), 0),0)</f>
        <v>14</v>
      </c>
      <c r="F61" t="str">
        <f t="shared" si="1"/>
        <v/>
      </c>
    </row>
    <row r="62" spans="1:6" ht="16" x14ac:dyDescent="0.2">
      <c r="A62" s="10" t="s">
        <v>51</v>
      </c>
      <c r="B62" s="10" t="s">
        <v>71</v>
      </c>
      <c r="C62" s="141" t="s">
        <v>26</v>
      </c>
      <c r="D62" s="10">
        <v>5</v>
      </c>
      <c r="E62" s="10">
        <f>IFERROR(IFERROR(SUMIFS('Base de données'!$G:$G, 'Base de données'!A:A, BD_etu_notes_S1_C1!C62, 'Base de données'!$C:$C, BD_etu_notes_S1_C1!A62), 0) / IFERROR(SUMIFS('Base de données'!$E:$E, 'Base de données'!A:A, BD_etu_notes_S1_C1!C62, 'Base de données'!$C:$C, BD_etu_notes_S1_C1!A62), 0),0)</f>
        <v>10.5</v>
      </c>
      <c r="F62" t="str">
        <f t="shared" si="1"/>
        <v/>
      </c>
    </row>
    <row r="63" spans="1:6" ht="16" x14ac:dyDescent="0.2">
      <c r="A63" s="10" t="s">
        <v>51</v>
      </c>
      <c r="B63" s="10" t="s">
        <v>71</v>
      </c>
      <c r="C63" s="141" t="s">
        <v>29</v>
      </c>
      <c r="D63" s="10">
        <v>5</v>
      </c>
      <c r="E63" s="10">
        <f>IFERROR(IFERROR(SUMIFS('Base de données'!$G:$G, 'Base de données'!A:A, BD_etu_notes_S1_C1!C63, 'Base de données'!$C:$C, BD_etu_notes_S1_C1!A63), 0) / IFERROR(SUMIFS('Base de données'!$E:$E, 'Base de données'!A:A, BD_etu_notes_S1_C1!C63, 'Base de données'!$C:$C, BD_etu_notes_S1_C1!A63), 0),0)</f>
        <v>14</v>
      </c>
      <c r="F63" t="str">
        <f t="shared" si="1"/>
        <v/>
      </c>
    </row>
    <row r="64" spans="1:6" ht="16" x14ac:dyDescent="0.2">
      <c r="A64" s="4" t="s">
        <v>60</v>
      </c>
      <c r="B64" s="4" t="s">
        <v>68</v>
      </c>
      <c r="C64" s="138" t="s">
        <v>34</v>
      </c>
      <c r="D64" s="4">
        <v>15</v>
      </c>
      <c r="E64" s="10">
        <f>IFERROR(IFERROR(SUMIFS('Base de données'!$G:$G, 'Base de données'!A:A, BD_etu_notes_S1_C1!C64, 'Base de données'!$C:$C, BD_etu_notes_S1_C1!A64), 0) / IFERROR(SUMIFS('Base de données'!$E:$E, 'Base de données'!A:A, BD_etu_notes_S1_C1!C64, 'Base de données'!$C:$C, BD_etu_notes_S1_C1!A64), 0),0)</f>
        <v>0</v>
      </c>
    </row>
    <row r="65" spans="1:5" ht="16" x14ac:dyDescent="0.2">
      <c r="A65" s="4" t="s">
        <v>46</v>
      </c>
      <c r="B65" s="4" t="s">
        <v>69</v>
      </c>
      <c r="C65" s="138" t="s">
        <v>34</v>
      </c>
      <c r="D65" s="4">
        <v>20</v>
      </c>
      <c r="E65" s="10">
        <f>IFERROR(IFERROR(SUMIFS('Base de données'!$G:$G, 'Base de données'!A:A, BD_etu_notes_S1_C1!C65, 'Base de données'!$C:$C, BD_etu_notes_S1_C1!A65), 0) / IFERROR(SUMIFS('Base de données'!$E:$E, 'Base de données'!A:A, BD_etu_notes_S1_C1!C65, 'Base de données'!$C:$C, BD_etu_notes_S1_C1!A65), 0),0)</f>
        <v>0</v>
      </c>
    </row>
    <row r="66" spans="1:5" ht="16" x14ac:dyDescent="0.2">
      <c r="A66" s="145" t="s">
        <v>49</v>
      </c>
      <c r="B66" s="4" t="s">
        <v>70</v>
      </c>
      <c r="C66" s="138" t="s">
        <v>34</v>
      </c>
      <c r="D66" s="4">
        <v>20</v>
      </c>
      <c r="E66" s="10">
        <f>IFERROR(IFERROR(SUMIFS('Base de données'!$G:$G, 'Base de données'!A:A, BD_etu_notes_S1_C1!C66, 'Base de données'!$C:$C, BD_etu_notes_S1_C1!A66), 0) / IFERROR(SUMIFS('Base de données'!$E:$E, 'Base de données'!A:A, BD_etu_notes_S1_C1!C66, 'Base de données'!$C:$C, BD_etu_notes_S1_C1!A66), 0),0)</f>
        <v>0</v>
      </c>
    </row>
    <row r="67" spans="1:5" ht="16" x14ac:dyDescent="0.2">
      <c r="A67" s="4" t="s">
        <v>51</v>
      </c>
      <c r="B67" s="4" t="s">
        <v>71</v>
      </c>
      <c r="C67" s="138" t="s">
        <v>34</v>
      </c>
      <c r="D67" s="4">
        <v>5</v>
      </c>
      <c r="E67" s="10">
        <f>IFERROR(IFERROR(SUMIFS('Base de données'!$G:$G, 'Base de données'!A:A, BD_etu_notes_S1_C1!C67, 'Base de données'!$C:$C, BD_etu_notes_S1_C1!A67), 0) / IFERROR(SUMIFS('Base de données'!$E:$E, 'Base de données'!A:A, BD_etu_notes_S1_C1!C67, 'Base de données'!$C:$C, BD_etu_notes_S1_C1!A67), 0),0)</f>
        <v>0</v>
      </c>
    </row>
    <row r="68" spans="1:5" ht="16" x14ac:dyDescent="0.2">
      <c r="A68" s="10" t="s">
        <v>59</v>
      </c>
      <c r="B68" s="10" t="s">
        <v>72</v>
      </c>
      <c r="C68" s="142" t="s">
        <v>34</v>
      </c>
      <c r="D68" s="10">
        <v>30</v>
      </c>
      <c r="E68" s="10">
        <f>IFERROR(IFERROR(SUMIFS('Base de données'!$G:$G, 'Base de données'!A:A, BD_etu_notes_S1_C1!C68, 'Base de données'!$C:$C, BD_etu_notes_S1_C1!A68), 0) / IFERROR(SUMIFS('Base de données'!$E:$E, 'Base de données'!A:A, BD_etu_notes_S1_C1!C68, 'Base de données'!$C:$C, BD_etu_notes_S1_C1!A68), 0),0)</f>
        <v>0</v>
      </c>
    </row>
    <row r="69" spans="1:5" ht="16" x14ac:dyDescent="0.2">
      <c r="A69" s="10" t="s">
        <v>73</v>
      </c>
      <c r="B69" s="10" t="s">
        <v>74</v>
      </c>
      <c r="C69" s="143" t="s">
        <v>34</v>
      </c>
      <c r="D69" s="10">
        <v>10</v>
      </c>
      <c r="E69" s="10">
        <f>IFERROR(IFERROR(SUMIFS('Base de données'!$G:$G, 'Base de données'!A:A, BD_etu_notes_S1_C1!C69, 'Base de données'!$C:$C, BD_etu_notes_S1_C1!A69), 0) / IFERROR(SUMIFS('Base de données'!$E:$E, 'Base de données'!A:A, BD_etu_notes_S1_C1!C69, 'Base de données'!$C:$C, BD_etu_notes_S1_C1!A69), 0),0)</f>
        <v>0</v>
      </c>
    </row>
    <row r="70" spans="1:5" ht="16" x14ac:dyDescent="0.2">
      <c r="A70" s="10"/>
      <c r="B70" s="10"/>
      <c r="C70" s="144"/>
      <c r="D70" s="10"/>
      <c r="E70" s="10"/>
    </row>
    <row r="71" spans="1:5" ht="16" x14ac:dyDescent="0.2">
      <c r="A71" s="10"/>
      <c r="B71" s="10"/>
      <c r="C71" s="144"/>
      <c r="D71" s="10"/>
      <c r="E71" s="10"/>
    </row>
    <row r="72" spans="1:5" ht="16" x14ac:dyDescent="0.2">
      <c r="A72" s="10"/>
      <c r="B72" s="10"/>
      <c r="C72" s="144"/>
      <c r="D72" s="10"/>
      <c r="E72" s="10"/>
    </row>
    <row r="73" spans="1:5" ht="16" x14ac:dyDescent="0.2">
      <c r="A73" s="10"/>
      <c r="B73" s="10"/>
      <c r="C73" s="144"/>
      <c r="D73" s="10"/>
      <c r="E73" s="10"/>
    </row>
    <row r="74" spans="1:5" ht="16" x14ac:dyDescent="0.2">
      <c r="A74" s="10"/>
      <c r="B74" s="10"/>
      <c r="C74" s="144"/>
      <c r="D74" s="10"/>
      <c r="E74" s="10"/>
    </row>
    <row r="75" spans="1:5" ht="16" x14ac:dyDescent="0.2">
      <c r="A75" s="10"/>
      <c r="B75" s="10"/>
      <c r="C75" s="144"/>
      <c r="D75" s="10"/>
      <c r="E75" s="10"/>
    </row>
    <row r="76" spans="1:5" ht="16" x14ac:dyDescent="0.2">
      <c r="A76" s="10"/>
      <c r="B76" s="10"/>
      <c r="C76" s="144"/>
      <c r="D76" s="10"/>
      <c r="E76" s="10"/>
    </row>
    <row r="77" spans="1:5" ht="16" x14ac:dyDescent="0.2">
      <c r="A77" s="10"/>
      <c r="B77" s="10"/>
      <c r="C77" s="144"/>
      <c r="D77" s="10"/>
      <c r="E77" s="10"/>
    </row>
    <row r="78" spans="1:5" ht="16" x14ac:dyDescent="0.2">
      <c r="A78" s="10"/>
      <c r="B78" s="10"/>
      <c r="C78" s="144"/>
      <c r="D78" s="10"/>
      <c r="E78" s="10"/>
    </row>
    <row r="79" spans="1:5" ht="16" x14ac:dyDescent="0.2">
      <c r="A79" s="10"/>
      <c r="B79" s="10"/>
      <c r="C79" s="144"/>
      <c r="D79" s="10"/>
      <c r="E79" s="10"/>
    </row>
    <row r="80" spans="1:5" ht="16" x14ac:dyDescent="0.2">
      <c r="A80" s="10"/>
      <c r="B80" s="10"/>
      <c r="C80" s="144"/>
      <c r="D80" s="10"/>
      <c r="E80" s="10"/>
    </row>
    <row r="81" spans="1:5" ht="16" x14ac:dyDescent="0.2">
      <c r="A81" s="10"/>
      <c r="B81" s="10"/>
      <c r="C81" s="144"/>
      <c r="D81" s="10"/>
      <c r="E81" s="10"/>
    </row>
    <row r="82" spans="1:5" ht="16" x14ac:dyDescent="0.2">
      <c r="A82" s="10"/>
      <c r="B82" s="10"/>
      <c r="C82" s="144"/>
      <c r="D82" s="10"/>
      <c r="E82" s="10"/>
    </row>
    <row r="83" spans="1:5" ht="16" x14ac:dyDescent="0.2">
      <c r="A83" s="10"/>
      <c r="B83" s="10"/>
      <c r="C83" s="144"/>
      <c r="D83" s="10"/>
      <c r="E83" s="10"/>
    </row>
    <row r="84" spans="1:5" ht="16" x14ac:dyDescent="0.2">
      <c r="A84" s="10"/>
      <c r="B84" s="10"/>
      <c r="C84" s="144"/>
      <c r="D84" s="10"/>
      <c r="E84" s="10"/>
    </row>
    <row r="85" spans="1:5" ht="16" x14ac:dyDescent="0.2">
      <c r="A85" s="10"/>
      <c r="B85" s="10"/>
      <c r="C85" s="144"/>
      <c r="D85" s="10"/>
      <c r="E85" s="10"/>
    </row>
    <row r="86" spans="1:5" ht="16" x14ac:dyDescent="0.2">
      <c r="A86" s="10"/>
      <c r="B86" s="10"/>
      <c r="C86" s="144"/>
      <c r="D86" s="10"/>
      <c r="E86" s="10"/>
    </row>
    <row r="87" spans="1:5" ht="16" x14ac:dyDescent="0.2">
      <c r="A87" s="10"/>
      <c r="B87" s="10"/>
      <c r="C87" s="144"/>
      <c r="D87" s="10"/>
      <c r="E87" s="10"/>
    </row>
    <row r="88" spans="1:5" ht="16" x14ac:dyDescent="0.2">
      <c r="A88" s="10"/>
      <c r="B88" s="10"/>
      <c r="C88" s="144"/>
      <c r="D88" s="10"/>
      <c r="E88" s="10"/>
    </row>
    <row r="89" spans="1:5" ht="16" x14ac:dyDescent="0.2">
      <c r="A89" s="10"/>
      <c r="B89" s="10"/>
      <c r="C89" s="144"/>
      <c r="D89" s="10"/>
      <c r="E89" s="10"/>
    </row>
    <row r="90" spans="1:5" ht="16" x14ac:dyDescent="0.2">
      <c r="A90" s="10"/>
      <c r="B90" s="10"/>
      <c r="C90" s="144"/>
      <c r="D90" s="10"/>
      <c r="E90" s="10"/>
    </row>
    <row r="91" spans="1:5" ht="16" x14ac:dyDescent="0.2">
      <c r="A91" s="10"/>
      <c r="B91" s="10"/>
      <c r="C91" s="144"/>
      <c r="D91" s="10"/>
      <c r="E91" s="10"/>
    </row>
    <row r="92" spans="1:5" ht="16" x14ac:dyDescent="0.2">
      <c r="A92" s="10"/>
      <c r="B92" s="10"/>
      <c r="C92" s="144"/>
      <c r="D92" s="10"/>
      <c r="E92" s="10"/>
    </row>
    <row r="93" spans="1:5" ht="16" x14ac:dyDescent="0.2">
      <c r="A93" s="10"/>
      <c r="B93" s="10"/>
      <c r="C93" s="144"/>
      <c r="D93" s="10"/>
      <c r="E93" s="10"/>
    </row>
    <row r="94" spans="1:5" ht="16" x14ac:dyDescent="0.2">
      <c r="A94" s="10"/>
      <c r="B94" s="10"/>
      <c r="C94" s="144"/>
      <c r="D94" s="10"/>
      <c r="E94" s="10"/>
    </row>
    <row r="95" spans="1:5" ht="16" x14ac:dyDescent="0.2">
      <c r="A95" s="10"/>
      <c r="B95" s="10"/>
      <c r="C95" s="144"/>
      <c r="D95" s="10"/>
      <c r="E95" s="10"/>
    </row>
    <row r="96" spans="1:5" ht="16" x14ac:dyDescent="0.2">
      <c r="A96" s="10"/>
      <c r="B96" s="10"/>
      <c r="C96" s="144"/>
      <c r="D96" s="10"/>
      <c r="E96" s="10"/>
    </row>
    <row r="97" spans="1:5" ht="16" x14ac:dyDescent="0.2">
      <c r="A97" s="10"/>
      <c r="B97" s="10"/>
      <c r="C97" s="144"/>
      <c r="D97" s="10"/>
      <c r="E97" s="10"/>
    </row>
    <row r="98" spans="1:5" ht="16" x14ac:dyDescent="0.2">
      <c r="A98" s="10"/>
      <c r="B98" s="10"/>
      <c r="C98" s="144"/>
      <c r="D98" s="10"/>
      <c r="E98" s="10"/>
    </row>
    <row r="99" spans="1:5" ht="16" x14ac:dyDescent="0.2">
      <c r="A99" s="10"/>
      <c r="B99" s="10"/>
      <c r="C99" s="144"/>
      <c r="D99" s="10"/>
      <c r="E99" s="10"/>
    </row>
    <row r="100" spans="1:5" ht="16" x14ac:dyDescent="0.2">
      <c r="A100" s="10"/>
      <c r="B100" s="10"/>
      <c r="C100" s="144"/>
      <c r="D100" s="10"/>
      <c r="E100" s="10"/>
    </row>
    <row r="101" spans="1:5" ht="16" x14ac:dyDescent="0.2">
      <c r="A101" s="10"/>
      <c r="B101" s="10"/>
      <c r="C101" s="144"/>
      <c r="D101" s="10"/>
      <c r="E101" s="10"/>
    </row>
    <row r="102" spans="1:5" ht="16" x14ac:dyDescent="0.2">
      <c r="A102" s="10"/>
      <c r="B102" s="10"/>
      <c r="C102" s="144"/>
      <c r="D102" s="10"/>
      <c r="E102" s="10"/>
    </row>
    <row r="103" spans="1:5" ht="16" x14ac:dyDescent="0.2">
      <c r="A103" s="10"/>
      <c r="B103" s="10"/>
      <c r="C103" s="144"/>
      <c r="D103" s="10"/>
      <c r="E103" s="10"/>
    </row>
    <row r="104" spans="1:5" ht="16" x14ac:dyDescent="0.2">
      <c r="A104" s="10"/>
      <c r="B104" s="10"/>
      <c r="C104" s="144"/>
      <c r="D104" s="10"/>
      <c r="E104" s="10"/>
    </row>
    <row r="105" spans="1:5" ht="16" x14ac:dyDescent="0.2">
      <c r="A105" s="10"/>
      <c r="B105" s="10"/>
      <c r="C105" s="144"/>
      <c r="D105" s="10"/>
      <c r="E105" s="10"/>
    </row>
    <row r="106" spans="1:5" ht="16" x14ac:dyDescent="0.2">
      <c r="A106" s="10"/>
      <c r="B106" s="10"/>
      <c r="C106" s="144"/>
      <c r="D106" s="10"/>
      <c r="E106" s="10"/>
    </row>
    <row r="107" spans="1:5" ht="16" x14ac:dyDescent="0.2">
      <c r="A107" s="10"/>
      <c r="B107" s="10"/>
      <c r="C107" s="144"/>
      <c r="D107" s="10"/>
      <c r="E107" s="10"/>
    </row>
    <row r="108" spans="1:5" ht="16" x14ac:dyDescent="0.2">
      <c r="A108" s="10"/>
      <c r="B108" s="10"/>
      <c r="C108" s="144"/>
      <c r="D108" s="10"/>
      <c r="E108" s="10"/>
    </row>
    <row r="109" spans="1:5" ht="16" x14ac:dyDescent="0.2">
      <c r="A109" s="10"/>
      <c r="B109" s="10"/>
      <c r="C109" s="144"/>
      <c r="D109" s="10"/>
      <c r="E109" s="10"/>
    </row>
    <row r="110" spans="1:5" ht="16" x14ac:dyDescent="0.2">
      <c r="A110" s="10"/>
      <c r="B110" s="10"/>
      <c r="C110" s="144"/>
      <c r="D110" s="10"/>
      <c r="E110" s="10"/>
    </row>
    <row r="111" spans="1:5" ht="16" x14ac:dyDescent="0.2">
      <c r="A111" s="10"/>
      <c r="B111" s="10"/>
      <c r="C111" s="144"/>
      <c r="D111" s="10"/>
      <c r="E111" s="10"/>
    </row>
    <row r="112" spans="1:5" ht="16" x14ac:dyDescent="0.2">
      <c r="A112" s="10"/>
      <c r="B112" s="10"/>
      <c r="C112" s="144"/>
      <c r="D112" s="10"/>
      <c r="E112" s="10"/>
    </row>
    <row r="113" spans="1:5" ht="16" x14ac:dyDescent="0.2">
      <c r="A113" s="10"/>
      <c r="B113" s="10"/>
      <c r="C113" s="144"/>
      <c r="D113" s="10"/>
      <c r="E113" s="10"/>
    </row>
    <row r="114" spans="1:5" ht="16" x14ac:dyDescent="0.2">
      <c r="A114" s="10"/>
      <c r="B114" s="10"/>
      <c r="C114" s="144"/>
      <c r="D114" s="10"/>
      <c r="E114" s="10"/>
    </row>
    <row r="115" spans="1:5" ht="16" x14ac:dyDescent="0.2">
      <c r="A115" s="10"/>
      <c r="B115" s="10"/>
      <c r="C115" s="144"/>
      <c r="D115" s="10"/>
      <c r="E115" s="10"/>
    </row>
    <row r="116" spans="1:5" ht="16" x14ac:dyDescent="0.2">
      <c r="A116" s="10"/>
      <c r="B116" s="10"/>
      <c r="C116" s="144"/>
      <c r="D116" s="10"/>
      <c r="E116" s="10"/>
    </row>
    <row r="117" spans="1:5" ht="16" x14ac:dyDescent="0.2">
      <c r="A117" s="10"/>
      <c r="B117" s="10"/>
      <c r="C117" s="144"/>
      <c r="D117" s="10"/>
      <c r="E117" s="10"/>
    </row>
    <row r="118" spans="1:5" ht="16" x14ac:dyDescent="0.2">
      <c r="A118" s="10"/>
      <c r="B118" s="10"/>
      <c r="C118" s="144"/>
      <c r="D118" s="10"/>
      <c r="E118" s="10"/>
    </row>
    <row r="119" spans="1:5" ht="16" x14ac:dyDescent="0.2">
      <c r="E119" s="10"/>
    </row>
    <row r="120" spans="1:5" ht="16" x14ac:dyDescent="0.2">
      <c r="E120" s="10"/>
    </row>
    <row r="121" spans="1:5" ht="15.75" customHeight="1" x14ac:dyDescent="0.2">
      <c r="A121" s="145"/>
      <c r="E121" s="10"/>
    </row>
    <row r="122" spans="1:5" ht="16" x14ac:dyDescent="0.2">
      <c r="E122" s="10"/>
    </row>
    <row r="123" spans="1:5" ht="16" x14ac:dyDescent="0.2">
      <c r="A123" s="10"/>
      <c r="B123" s="10"/>
      <c r="C123" s="142"/>
      <c r="D123" s="10"/>
      <c r="E123" s="10"/>
    </row>
    <row r="124" spans="1:5" ht="16" x14ac:dyDescent="0.2">
      <c r="A124" s="10"/>
      <c r="B124" s="10"/>
      <c r="C124" s="144"/>
      <c r="D124" s="10"/>
      <c r="E124" s="10"/>
    </row>
    <row r="125" spans="1:5" ht="16" x14ac:dyDescent="0.2">
      <c r="A125" s="10"/>
      <c r="B125" s="10"/>
      <c r="C125" s="144"/>
      <c r="D125" s="10"/>
      <c r="E125" s="10"/>
    </row>
    <row r="126" spans="1:5" ht="16" x14ac:dyDescent="0.2">
      <c r="A126" s="10"/>
      <c r="B126" s="10"/>
      <c r="C126" s="144"/>
      <c r="D126" s="10"/>
      <c r="E126" s="10"/>
    </row>
    <row r="127" spans="1:5" ht="16" x14ac:dyDescent="0.2">
      <c r="A127" s="10"/>
      <c r="B127" s="10"/>
      <c r="C127" s="144"/>
      <c r="D127" s="10"/>
      <c r="E127" s="10"/>
    </row>
    <row r="128" spans="1:5" ht="16" x14ac:dyDescent="0.2">
      <c r="A128" s="10"/>
      <c r="B128" s="10"/>
      <c r="C128" s="144"/>
      <c r="D128" s="10"/>
      <c r="E128" s="10"/>
    </row>
    <row r="129" spans="1:5" ht="16" x14ac:dyDescent="0.2">
      <c r="A129" s="10"/>
      <c r="B129" s="10"/>
      <c r="C129" s="144"/>
      <c r="D129" s="10"/>
      <c r="E129" s="10"/>
    </row>
    <row r="130" spans="1:5" ht="16" x14ac:dyDescent="0.2">
      <c r="A130" s="10"/>
      <c r="B130" s="10"/>
      <c r="C130" s="144"/>
      <c r="D130" s="10"/>
      <c r="E130" s="10"/>
    </row>
    <row r="131" spans="1:5" ht="16" x14ac:dyDescent="0.2">
      <c r="A131" s="10"/>
      <c r="B131" s="10"/>
      <c r="C131" s="144"/>
      <c r="D131" s="10"/>
      <c r="E131" s="10"/>
    </row>
    <row r="132" spans="1:5" ht="16" x14ac:dyDescent="0.2">
      <c r="A132" s="10"/>
      <c r="B132" s="10"/>
      <c r="C132" s="144"/>
      <c r="D132" s="10"/>
      <c r="E132" s="10"/>
    </row>
    <row r="133" spans="1:5" ht="16" x14ac:dyDescent="0.2">
      <c r="A133" s="10"/>
      <c r="B133" s="10"/>
      <c r="C133" s="144"/>
      <c r="D133" s="10"/>
      <c r="E133" s="10"/>
    </row>
    <row r="134" spans="1:5" ht="16" x14ac:dyDescent="0.2">
      <c r="A134" s="10"/>
      <c r="B134" s="10"/>
      <c r="C134" s="144"/>
      <c r="D134" s="10"/>
      <c r="E134" s="10"/>
    </row>
    <row r="135" spans="1:5" ht="16" x14ac:dyDescent="0.2">
      <c r="A135" s="10"/>
      <c r="B135" s="10"/>
      <c r="C135" s="144"/>
      <c r="D135" s="10"/>
      <c r="E135" s="10"/>
    </row>
    <row r="136" spans="1:5" ht="16" x14ac:dyDescent="0.2">
      <c r="A136" s="10"/>
      <c r="B136" s="10"/>
      <c r="C136" s="144"/>
      <c r="D136" s="10"/>
      <c r="E136" s="10"/>
    </row>
    <row r="137" spans="1:5" ht="16" x14ac:dyDescent="0.2">
      <c r="A137" s="10"/>
      <c r="B137" s="10"/>
      <c r="C137" s="144"/>
      <c r="D137" s="10"/>
      <c r="E137" s="10"/>
    </row>
    <row r="138" spans="1:5" ht="16" x14ac:dyDescent="0.2">
      <c r="A138" s="10"/>
      <c r="B138" s="10"/>
      <c r="C138" s="144"/>
      <c r="D138" s="10"/>
      <c r="E138" s="10"/>
    </row>
    <row r="139" spans="1:5" ht="16" x14ac:dyDescent="0.2">
      <c r="A139" s="10"/>
      <c r="B139" s="10"/>
      <c r="C139" s="144"/>
      <c r="D139" s="10"/>
      <c r="E139" s="10"/>
    </row>
    <row r="140" spans="1:5" ht="16" x14ac:dyDescent="0.2">
      <c r="A140" s="10"/>
      <c r="B140" s="10"/>
      <c r="C140" s="144"/>
      <c r="D140" s="10"/>
      <c r="E140" s="10"/>
    </row>
    <row r="141" spans="1:5" ht="16" x14ac:dyDescent="0.2">
      <c r="A141" s="10"/>
      <c r="B141" s="10"/>
      <c r="C141" s="144"/>
      <c r="D141" s="10"/>
      <c r="E141" s="10"/>
    </row>
    <row r="142" spans="1:5" ht="16" x14ac:dyDescent="0.2">
      <c r="A142" s="10"/>
      <c r="B142" s="10"/>
      <c r="C142" s="144"/>
      <c r="D142" s="10"/>
      <c r="E142" s="10"/>
    </row>
    <row r="143" spans="1:5" ht="16" x14ac:dyDescent="0.2">
      <c r="A143" s="10"/>
      <c r="B143" s="10"/>
      <c r="C143" s="144"/>
      <c r="D143" s="10"/>
      <c r="E143" s="10"/>
    </row>
    <row r="144" spans="1:5" ht="16" x14ac:dyDescent="0.2">
      <c r="A144" s="10"/>
      <c r="B144" s="10"/>
      <c r="C144" s="144"/>
      <c r="D144" s="10"/>
      <c r="E144" s="10"/>
    </row>
    <row r="145" spans="1:5" ht="16" x14ac:dyDescent="0.2">
      <c r="A145" s="10"/>
      <c r="B145" s="10"/>
      <c r="C145" s="144"/>
      <c r="D145" s="10"/>
      <c r="E145" s="10"/>
    </row>
    <row r="146" spans="1:5" ht="16" x14ac:dyDescent="0.2">
      <c r="A146" s="10"/>
      <c r="B146" s="10"/>
      <c r="C146" s="144"/>
      <c r="D146" s="10"/>
      <c r="E146" s="10"/>
    </row>
    <row r="147" spans="1:5" ht="16" x14ac:dyDescent="0.2">
      <c r="A147" s="10"/>
      <c r="B147" s="10"/>
      <c r="C147" s="144"/>
      <c r="D147" s="10"/>
      <c r="E147" s="10"/>
    </row>
    <row r="148" spans="1:5" ht="16" x14ac:dyDescent="0.2">
      <c r="A148" s="10"/>
      <c r="B148" s="10"/>
      <c r="C148" s="144"/>
      <c r="D148" s="10"/>
      <c r="E148" s="10"/>
    </row>
    <row r="149" spans="1:5" ht="16" x14ac:dyDescent="0.2">
      <c r="A149" s="10"/>
      <c r="B149" s="10"/>
      <c r="C149" s="144"/>
      <c r="D149" s="10"/>
      <c r="E149" s="10"/>
    </row>
    <row r="150" spans="1:5" ht="16" x14ac:dyDescent="0.2">
      <c r="A150" s="10"/>
      <c r="B150" s="10"/>
      <c r="C150" s="144"/>
      <c r="D150" s="10"/>
      <c r="E150" s="10"/>
    </row>
    <row r="151" spans="1:5" ht="16" x14ac:dyDescent="0.2">
      <c r="A151" s="10"/>
      <c r="B151" s="10"/>
      <c r="C151" s="144"/>
      <c r="D151" s="10"/>
      <c r="E151" s="10"/>
    </row>
    <row r="152" spans="1:5" ht="16" x14ac:dyDescent="0.2">
      <c r="A152" s="10"/>
      <c r="B152" s="10"/>
      <c r="C152" s="144"/>
      <c r="D152" s="10"/>
      <c r="E152" s="10"/>
    </row>
    <row r="153" spans="1:5" ht="16" x14ac:dyDescent="0.2">
      <c r="A153" s="10"/>
      <c r="B153" s="10"/>
      <c r="C153" s="144"/>
      <c r="D153" s="10"/>
      <c r="E153" s="10"/>
    </row>
    <row r="154" spans="1:5" ht="16" x14ac:dyDescent="0.2">
      <c r="A154" s="10"/>
      <c r="B154" s="10"/>
      <c r="C154" s="144"/>
      <c r="D154" s="10"/>
      <c r="E154" s="10"/>
    </row>
    <row r="155" spans="1:5" ht="16" x14ac:dyDescent="0.2">
      <c r="A155" s="10"/>
      <c r="B155" s="10"/>
      <c r="C155" s="144"/>
      <c r="D155" s="10"/>
      <c r="E155" s="10"/>
    </row>
    <row r="156" spans="1:5" ht="16" x14ac:dyDescent="0.2">
      <c r="A156" s="10"/>
      <c r="B156" s="10"/>
      <c r="C156" s="144"/>
      <c r="D156" s="10"/>
      <c r="E156" s="10"/>
    </row>
    <row r="157" spans="1:5" ht="16" x14ac:dyDescent="0.2">
      <c r="A157" s="10"/>
      <c r="B157" s="10"/>
      <c r="C157" s="144"/>
      <c r="D157" s="10"/>
      <c r="E157" s="10"/>
    </row>
    <row r="158" spans="1:5" ht="16" x14ac:dyDescent="0.2">
      <c r="A158" s="10"/>
      <c r="B158" s="10"/>
      <c r="C158" s="144"/>
      <c r="D158" s="10"/>
      <c r="E158" s="10"/>
    </row>
    <row r="159" spans="1:5" ht="16" x14ac:dyDescent="0.2">
      <c r="A159" s="10"/>
      <c r="B159" s="10"/>
      <c r="C159" s="144"/>
      <c r="D159" s="10"/>
      <c r="E159" s="10"/>
    </row>
    <row r="160" spans="1:5" ht="16" x14ac:dyDescent="0.2">
      <c r="A160" s="10"/>
      <c r="B160" s="10"/>
      <c r="C160" s="144"/>
      <c r="D160" s="10"/>
      <c r="E160" s="10"/>
    </row>
    <row r="161" spans="1:5" ht="16" x14ac:dyDescent="0.2">
      <c r="A161" s="10"/>
      <c r="B161" s="10"/>
      <c r="C161" s="144"/>
      <c r="D161" s="10"/>
      <c r="E161" s="10"/>
    </row>
    <row r="162" spans="1:5" ht="16" x14ac:dyDescent="0.2">
      <c r="A162" s="10"/>
      <c r="B162" s="10"/>
      <c r="C162" s="144"/>
      <c r="D162" s="10"/>
      <c r="E162" s="10"/>
    </row>
    <row r="163" spans="1:5" ht="16" x14ac:dyDescent="0.2">
      <c r="A163" s="10"/>
      <c r="B163" s="10"/>
      <c r="C163" s="144"/>
      <c r="D163" s="10"/>
      <c r="E163" s="10"/>
    </row>
    <row r="164" spans="1:5" ht="16" x14ac:dyDescent="0.2">
      <c r="A164" s="10"/>
      <c r="B164" s="10"/>
      <c r="C164" s="144"/>
      <c r="D164" s="10"/>
      <c r="E164" s="10"/>
    </row>
    <row r="165" spans="1:5" ht="16" x14ac:dyDescent="0.2">
      <c r="A165" s="10"/>
      <c r="B165" s="10"/>
      <c r="C165" s="144"/>
      <c r="D165" s="10"/>
      <c r="E165" s="10"/>
    </row>
    <row r="166" spans="1:5" ht="16" x14ac:dyDescent="0.2">
      <c r="A166" s="10"/>
      <c r="B166" s="10"/>
      <c r="C166" s="144"/>
      <c r="D166" s="10"/>
      <c r="E166" s="10"/>
    </row>
    <row r="167" spans="1:5" ht="16" x14ac:dyDescent="0.2">
      <c r="A167" s="10"/>
      <c r="B167" s="10"/>
      <c r="C167" s="144"/>
      <c r="D167" s="10"/>
      <c r="E167" s="10"/>
    </row>
    <row r="168" spans="1:5" ht="16" x14ac:dyDescent="0.2">
      <c r="A168" s="10"/>
      <c r="B168" s="10"/>
      <c r="C168" s="144"/>
      <c r="D168" s="10"/>
      <c r="E168" s="10"/>
    </row>
    <row r="169" spans="1:5" ht="16" x14ac:dyDescent="0.2">
      <c r="A169" s="10"/>
      <c r="B169" s="10"/>
      <c r="C169" s="144"/>
      <c r="D169" s="10"/>
      <c r="E169" s="10"/>
    </row>
    <row r="170" spans="1:5" ht="16" x14ac:dyDescent="0.2">
      <c r="A170" s="10"/>
      <c r="B170" s="10"/>
      <c r="C170" s="144"/>
      <c r="D170" s="10"/>
      <c r="E170" s="10"/>
    </row>
    <row r="171" spans="1:5" ht="16" x14ac:dyDescent="0.2">
      <c r="A171" s="10"/>
      <c r="B171" s="10"/>
      <c r="C171" s="144"/>
      <c r="D171" s="10"/>
      <c r="E171" s="10"/>
    </row>
    <row r="172" spans="1:5" ht="16" x14ac:dyDescent="0.2">
      <c r="A172" s="10"/>
      <c r="B172" s="10"/>
      <c r="C172" s="144"/>
      <c r="D172" s="10"/>
      <c r="E172" s="10"/>
    </row>
    <row r="173" spans="1:5" ht="16" x14ac:dyDescent="0.2">
      <c r="A173" s="10"/>
      <c r="B173" s="10"/>
      <c r="C173" s="144"/>
      <c r="D173" s="10"/>
      <c r="E173" s="10"/>
    </row>
    <row r="174" spans="1:5" ht="16" x14ac:dyDescent="0.2">
      <c r="A174" s="10"/>
      <c r="B174" s="10"/>
      <c r="C174" s="144"/>
      <c r="D174" s="10"/>
      <c r="E174" s="10"/>
    </row>
    <row r="175" spans="1:5" ht="16" x14ac:dyDescent="0.2">
      <c r="A175" s="10"/>
      <c r="B175" s="10"/>
      <c r="C175" s="144"/>
      <c r="D175" s="10"/>
      <c r="E175" s="10"/>
    </row>
    <row r="176" spans="1:5" ht="16" x14ac:dyDescent="0.2">
      <c r="A176" s="10"/>
      <c r="B176" s="10"/>
      <c r="C176" s="144"/>
      <c r="D176" s="10"/>
      <c r="E176" s="10"/>
    </row>
    <row r="177" spans="1:5" ht="16" x14ac:dyDescent="0.2">
      <c r="A177" s="10"/>
      <c r="B177" s="10"/>
      <c r="C177" s="144"/>
      <c r="D177" s="10"/>
      <c r="E177" s="10"/>
    </row>
    <row r="178" spans="1:5" ht="16" x14ac:dyDescent="0.2">
      <c r="A178" s="10"/>
      <c r="B178" s="10"/>
      <c r="C178" s="144"/>
      <c r="D178" s="10"/>
      <c r="E178" s="10"/>
    </row>
    <row r="179" spans="1:5" ht="16" x14ac:dyDescent="0.2">
      <c r="A179" s="10"/>
      <c r="B179" s="10"/>
      <c r="C179" s="144"/>
      <c r="D179" s="10"/>
      <c r="E179" s="10"/>
    </row>
    <row r="180" spans="1:5" ht="16" x14ac:dyDescent="0.2">
      <c r="A180" s="10"/>
      <c r="B180" s="10"/>
      <c r="C180" s="144"/>
      <c r="D180" s="10"/>
      <c r="E180" s="10"/>
    </row>
    <row r="181" spans="1:5" ht="16" x14ac:dyDescent="0.2">
      <c r="A181" s="10"/>
      <c r="B181" s="10"/>
      <c r="C181" s="144"/>
      <c r="D181" s="10"/>
      <c r="E181" s="10"/>
    </row>
    <row r="182" spans="1:5" ht="16" x14ac:dyDescent="0.2">
      <c r="A182" s="10"/>
      <c r="B182" s="10"/>
      <c r="C182" s="144"/>
      <c r="D182" s="10"/>
      <c r="E182" s="10"/>
    </row>
    <row r="183" spans="1:5" ht="16" x14ac:dyDescent="0.2">
      <c r="A183" s="10"/>
      <c r="B183" s="10"/>
      <c r="C183" s="144"/>
      <c r="D183" s="10"/>
      <c r="E183" s="10"/>
    </row>
    <row r="184" spans="1:5" ht="16" x14ac:dyDescent="0.2">
      <c r="A184" s="10"/>
      <c r="B184" s="10"/>
      <c r="C184" s="144"/>
      <c r="D184" s="10"/>
      <c r="E184" s="10"/>
    </row>
    <row r="185" spans="1:5" ht="16" x14ac:dyDescent="0.2">
      <c r="A185" s="10"/>
      <c r="B185" s="10"/>
      <c r="C185" s="144"/>
      <c r="D185" s="10"/>
      <c r="E185" s="10"/>
    </row>
    <row r="186" spans="1:5" ht="16" x14ac:dyDescent="0.2">
      <c r="A186" s="10"/>
      <c r="B186" s="10"/>
      <c r="C186" s="144"/>
      <c r="D186" s="10"/>
      <c r="E186" s="10"/>
    </row>
    <row r="187" spans="1:5" ht="16" x14ac:dyDescent="0.2">
      <c r="A187" s="10"/>
      <c r="B187" s="10"/>
      <c r="C187" s="144"/>
      <c r="D187" s="10"/>
      <c r="E187" s="10"/>
    </row>
    <row r="188" spans="1:5" ht="16" x14ac:dyDescent="0.2">
      <c r="A188" s="10"/>
      <c r="B188" s="10"/>
      <c r="C188" s="144"/>
      <c r="D188" s="10"/>
      <c r="E188" s="10"/>
    </row>
    <row r="189" spans="1:5" ht="16" x14ac:dyDescent="0.2">
      <c r="A189" s="10"/>
      <c r="B189" s="10"/>
      <c r="C189" s="144"/>
      <c r="D189" s="10"/>
      <c r="E189" s="10"/>
    </row>
    <row r="190" spans="1:5" ht="16" x14ac:dyDescent="0.2">
      <c r="A190" s="10"/>
      <c r="B190" s="10"/>
      <c r="C190" s="144"/>
      <c r="D190" s="10"/>
      <c r="E190" s="10"/>
    </row>
    <row r="191" spans="1:5" ht="16" x14ac:dyDescent="0.2">
      <c r="A191" s="10"/>
      <c r="B191" s="10"/>
      <c r="C191" s="144"/>
      <c r="D191" s="10"/>
      <c r="E191" s="10"/>
    </row>
    <row r="192" spans="1:5" ht="16" x14ac:dyDescent="0.2">
      <c r="A192" s="10"/>
      <c r="B192" s="10"/>
      <c r="C192" s="144"/>
      <c r="D192" s="10"/>
      <c r="E192" s="10"/>
    </row>
    <row r="193" spans="1:5" ht="16" x14ac:dyDescent="0.2">
      <c r="A193" s="10"/>
      <c r="B193" s="10"/>
      <c r="C193" s="144"/>
      <c r="D193" s="10"/>
      <c r="E193" s="10"/>
    </row>
    <row r="194" spans="1:5" ht="16" x14ac:dyDescent="0.2">
      <c r="E194" s="10"/>
    </row>
    <row r="195" spans="1:5" ht="16" x14ac:dyDescent="0.2">
      <c r="E195" s="10"/>
    </row>
    <row r="196" spans="1:5" ht="16" x14ac:dyDescent="0.2">
      <c r="E196" s="10"/>
    </row>
    <row r="197" spans="1:5" ht="16" x14ac:dyDescent="0.2">
      <c r="E197" s="10"/>
    </row>
    <row r="198" spans="1:5" ht="16" x14ac:dyDescent="0.2">
      <c r="E198" s="10"/>
    </row>
    <row r="199" spans="1:5" ht="16" x14ac:dyDescent="0.2">
      <c r="E199" s="10"/>
    </row>
    <row r="200" spans="1:5" ht="16" x14ac:dyDescent="0.2">
      <c r="E200" s="10"/>
    </row>
    <row r="201" spans="1:5" ht="16" x14ac:dyDescent="0.2">
      <c r="E201" s="10"/>
    </row>
    <row r="202" spans="1:5" ht="16" x14ac:dyDescent="0.2">
      <c r="E202" s="10"/>
    </row>
    <row r="203" spans="1:5" ht="16" x14ac:dyDescent="0.2">
      <c r="E203" s="10"/>
    </row>
    <row r="204" spans="1:5" ht="16" x14ac:dyDescent="0.2">
      <c r="E204" s="10"/>
    </row>
    <row r="205" spans="1:5" ht="16" x14ac:dyDescent="0.2">
      <c r="E205" s="10"/>
    </row>
    <row r="206" spans="1:5" ht="16" x14ac:dyDescent="0.2">
      <c r="E206" s="10"/>
    </row>
    <row r="207" spans="1:5" ht="16" x14ac:dyDescent="0.2">
      <c r="E207" s="10"/>
    </row>
    <row r="208" spans="1:5" ht="16" x14ac:dyDescent="0.2">
      <c r="E208" s="10"/>
    </row>
    <row r="209" spans="5:5" ht="16" x14ac:dyDescent="0.2">
      <c r="E209" s="10"/>
    </row>
    <row r="210" spans="5:5" ht="16" x14ac:dyDescent="0.2">
      <c r="E210" s="10"/>
    </row>
    <row r="211" spans="5:5" ht="16" x14ac:dyDescent="0.2">
      <c r="E211" s="10"/>
    </row>
    <row r="212" spans="5:5" ht="16" x14ac:dyDescent="0.2">
      <c r="E212" s="10"/>
    </row>
    <row r="213" spans="5:5" ht="16" x14ac:dyDescent="0.2">
      <c r="E213" s="10"/>
    </row>
    <row r="214" spans="5:5" ht="16" x14ac:dyDescent="0.2">
      <c r="E214" s="10"/>
    </row>
    <row r="215" spans="5:5" ht="16" x14ac:dyDescent="0.2">
      <c r="E215" s="10"/>
    </row>
    <row r="216" spans="5:5" ht="16" x14ac:dyDescent="0.2">
      <c r="E216" s="10"/>
    </row>
    <row r="217" spans="5:5" ht="16" x14ac:dyDescent="0.2">
      <c r="E217" s="10"/>
    </row>
    <row r="218" spans="5:5" ht="16" x14ac:dyDescent="0.2">
      <c r="E218" s="10"/>
    </row>
    <row r="219" spans="5:5" ht="16" x14ac:dyDescent="0.2">
      <c r="E219" s="10"/>
    </row>
    <row r="220" spans="5:5" ht="16" x14ac:dyDescent="0.2">
      <c r="E220" s="10"/>
    </row>
    <row r="221" spans="5:5" ht="16" x14ac:dyDescent="0.2">
      <c r="E221" s="10"/>
    </row>
    <row r="222" spans="5:5" ht="16" x14ac:dyDescent="0.2">
      <c r="E222" s="10"/>
    </row>
    <row r="223" spans="5:5" ht="16" x14ac:dyDescent="0.2">
      <c r="E223" s="10"/>
    </row>
    <row r="224" spans="5:5" ht="16" x14ac:dyDescent="0.2">
      <c r="E224" s="10"/>
    </row>
    <row r="225" spans="5:5" ht="16" x14ac:dyDescent="0.2">
      <c r="E225" s="10"/>
    </row>
    <row r="226" spans="5:5" ht="16" x14ac:dyDescent="0.2">
      <c r="E226" s="10"/>
    </row>
    <row r="227" spans="5:5" ht="16" x14ac:dyDescent="0.2">
      <c r="E227" s="10"/>
    </row>
    <row r="228" spans="5:5" ht="16" x14ac:dyDescent="0.2">
      <c r="E228" s="10"/>
    </row>
    <row r="229" spans="5:5" ht="16" x14ac:dyDescent="0.2">
      <c r="E229" s="10"/>
    </row>
    <row r="230" spans="5:5" ht="16" x14ac:dyDescent="0.2">
      <c r="E230" s="10"/>
    </row>
    <row r="231" spans="5:5" ht="16" x14ac:dyDescent="0.2">
      <c r="E231" s="10"/>
    </row>
    <row r="232" spans="5:5" ht="16" x14ac:dyDescent="0.2">
      <c r="E232" s="10"/>
    </row>
    <row r="233" spans="5:5" ht="16" x14ac:dyDescent="0.2">
      <c r="E233" s="10"/>
    </row>
    <row r="234" spans="5:5" ht="16" x14ac:dyDescent="0.2">
      <c r="E234" s="10"/>
    </row>
    <row r="235" spans="5:5" ht="16" x14ac:dyDescent="0.2">
      <c r="E235" s="10"/>
    </row>
    <row r="236" spans="5:5" ht="16" x14ac:dyDescent="0.2">
      <c r="E236" s="10"/>
    </row>
    <row r="237" spans="5:5" ht="16" x14ac:dyDescent="0.2">
      <c r="E237" s="10"/>
    </row>
    <row r="238" spans="5:5" ht="16" x14ac:dyDescent="0.2">
      <c r="E238" s="10"/>
    </row>
    <row r="239" spans="5:5" ht="16" x14ac:dyDescent="0.2">
      <c r="E239" s="10"/>
    </row>
    <row r="240" spans="5:5" ht="16" x14ac:dyDescent="0.2">
      <c r="E240" s="10"/>
    </row>
    <row r="241" spans="5:5" ht="16" x14ac:dyDescent="0.2">
      <c r="E241" s="10"/>
    </row>
    <row r="242" spans="5:5" ht="16" x14ac:dyDescent="0.2">
      <c r="E242" s="10"/>
    </row>
    <row r="243" spans="5:5" ht="16" x14ac:dyDescent="0.2">
      <c r="E243" s="10"/>
    </row>
    <row r="244" spans="5:5" ht="16" x14ac:dyDescent="0.2">
      <c r="E244" s="10"/>
    </row>
    <row r="245" spans="5:5" ht="16" x14ac:dyDescent="0.2">
      <c r="E245" s="10"/>
    </row>
    <row r="246" spans="5:5" ht="16" x14ac:dyDescent="0.2">
      <c r="E246" s="10"/>
    </row>
    <row r="247" spans="5:5" ht="16" x14ac:dyDescent="0.2">
      <c r="E247" s="10"/>
    </row>
    <row r="248" spans="5:5" ht="16" x14ac:dyDescent="0.2">
      <c r="E248" s="10"/>
    </row>
    <row r="249" spans="5:5" ht="16" x14ac:dyDescent="0.2">
      <c r="E249" s="10"/>
    </row>
    <row r="250" spans="5:5" ht="16" x14ac:dyDescent="0.2">
      <c r="E250" s="10"/>
    </row>
    <row r="251" spans="5:5" ht="16" x14ac:dyDescent="0.2">
      <c r="E251" s="10"/>
    </row>
    <row r="252" spans="5:5" ht="16" x14ac:dyDescent="0.2">
      <c r="E252" s="10"/>
    </row>
    <row r="253" spans="5:5" ht="16" x14ac:dyDescent="0.2">
      <c r="E253" s="10"/>
    </row>
    <row r="254" spans="5:5" ht="16" x14ac:dyDescent="0.2">
      <c r="E254" s="10"/>
    </row>
    <row r="255" spans="5:5" ht="16" x14ac:dyDescent="0.2">
      <c r="E255" s="10"/>
    </row>
    <row r="256" spans="5:5" ht="16" x14ac:dyDescent="0.2">
      <c r="E256" s="10"/>
    </row>
    <row r="257" spans="5:5" ht="16" x14ac:dyDescent="0.2">
      <c r="E257" s="10"/>
    </row>
    <row r="258" spans="5:5" ht="16" x14ac:dyDescent="0.2">
      <c r="E258" s="10"/>
    </row>
    <row r="259" spans="5:5" ht="16" x14ac:dyDescent="0.2">
      <c r="E259" s="10"/>
    </row>
    <row r="260" spans="5:5" ht="16" x14ac:dyDescent="0.2">
      <c r="E260" s="10"/>
    </row>
    <row r="261" spans="5:5" ht="16" x14ac:dyDescent="0.2">
      <c r="E261" s="10"/>
    </row>
    <row r="262" spans="5:5" ht="16" x14ac:dyDescent="0.2">
      <c r="E262" s="10"/>
    </row>
    <row r="263" spans="5:5" ht="16" x14ac:dyDescent="0.2">
      <c r="E263" s="10"/>
    </row>
    <row r="264" spans="5:5" ht="16" x14ac:dyDescent="0.2">
      <c r="E264" s="10"/>
    </row>
    <row r="265" spans="5:5" ht="16" x14ac:dyDescent="0.2">
      <c r="E265" s="10"/>
    </row>
    <row r="266" spans="5:5" ht="16" x14ac:dyDescent="0.2">
      <c r="E266" s="10"/>
    </row>
    <row r="267" spans="5:5" ht="16" x14ac:dyDescent="0.2">
      <c r="E267" s="10"/>
    </row>
    <row r="268" spans="5:5" ht="16" x14ac:dyDescent="0.2">
      <c r="E268" s="10"/>
    </row>
    <row r="269" spans="5:5" ht="16" x14ac:dyDescent="0.2">
      <c r="E269" s="10"/>
    </row>
    <row r="270" spans="5:5" ht="16" x14ac:dyDescent="0.2">
      <c r="E270" s="10"/>
    </row>
    <row r="271" spans="5:5" ht="16" x14ac:dyDescent="0.2">
      <c r="E271" s="10"/>
    </row>
    <row r="272" spans="5:5" ht="16" x14ac:dyDescent="0.2">
      <c r="E272" s="10"/>
    </row>
    <row r="273" spans="5:5" ht="16" x14ac:dyDescent="0.2">
      <c r="E273" s="10"/>
    </row>
    <row r="274" spans="5:5" ht="16" x14ac:dyDescent="0.2">
      <c r="E274" s="10"/>
    </row>
    <row r="275" spans="5:5" ht="16" x14ac:dyDescent="0.2">
      <c r="E275" s="10"/>
    </row>
    <row r="276" spans="5:5" ht="16" x14ac:dyDescent="0.2">
      <c r="E276" s="10"/>
    </row>
    <row r="277" spans="5:5" ht="16" x14ac:dyDescent="0.2">
      <c r="E277" s="10"/>
    </row>
    <row r="278" spans="5:5" ht="16" x14ac:dyDescent="0.2">
      <c r="E278" s="10"/>
    </row>
    <row r="279" spans="5:5" ht="16" x14ac:dyDescent="0.2">
      <c r="E279" s="10"/>
    </row>
    <row r="280" spans="5:5" ht="16" x14ac:dyDescent="0.2">
      <c r="E280" s="10"/>
    </row>
    <row r="281" spans="5:5" ht="16" x14ac:dyDescent="0.2">
      <c r="E281" s="10"/>
    </row>
    <row r="282" spans="5:5" ht="16" x14ac:dyDescent="0.2">
      <c r="E282" s="10"/>
    </row>
    <row r="283" spans="5:5" ht="16" x14ac:dyDescent="0.2">
      <c r="E283" s="10"/>
    </row>
    <row r="284" spans="5:5" ht="16" x14ac:dyDescent="0.2">
      <c r="E284" s="10"/>
    </row>
    <row r="285" spans="5:5" ht="16" x14ac:dyDescent="0.2">
      <c r="E285" s="10"/>
    </row>
    <row r="286" spans="5:5" ht="16" x14ac:dyDescent="0.2">
      <c r="E286" s="10"/>
    </row>
    <row r="287" spans="5:5" ht="16" x14ac:dyDescent="0.2">
      <c r="E287" s="10"/>
    </row>
    <row r="288" spans="5:5" ht="16" x14ac:dyDescent="0.2">
      <c r="E288" s="10"/>
    </row>
    <row r="289" spans="5:5" ht="16" x14ac:dyDescent="0.2">
      <c r="E289" s="10"/>
    </row>
    <row r="290" spans="5:5" ht="16" x14ac:dyDescent="0.2">
      <c r="E290" s="10"/>
    </row>
    <row r="291" spans="5:5" ht="16" x14ac:dyDescent="0.2">
      <c r="E291" s="10"/>
    </row>
    <row r="292" spans="5:5" ht="16" x14ac:dyDescent="0.2">
      <c r="E292" s="10"/>
    </row>
    <row r="293" spans="5:5" ht="16" x14ac:dyDescent="0.2">
      <c r="E293" s="10"/>
    </row>
    <row r="294" spans="5:5" ht="16" x14ac:dyDescent="0.2">
      <c r="E294" s="10"/>
    </row>
    <row r="295" spans="5:5" ht="16" x14ac:dyDescent="0.2">
      <c r="E295" s="10"/>
    </row>
    <row r="296" spans="5:5" ht="16" x14ac:dyDescent="0.2">
      <c r="E296" s="10"/>
    </row>
    <row r="297" spans="5:5" ht="16" x14ac:dyDescent="0.2">
      <c r="E297" s="10"/>
    </row>
    <row r="298" spans="5:5" ht="16" x14ac:dyDescent="0.2">
      <c r="E298" s="10"/>
    </row>
    <row r="299" spans="5:5" ht="16" x14ac:dyDescent="0.2">
      <c r="E299" s="10"/>
    </row>
    <row r="300" spans="5:5" ht="16" x14ac:dyDescent="0.2">
      <c r="E300" s="10"/>
    </row>
    <row r="301" spans="5:5" ht="16" x14ac:dyDescent="0.2">
      <c r="E301" s="10"/>
    </row>
    <row r="302" spans="5:5" ht="16" x14ac:dyDescent="0.2">
      <c r="E302" s="10"/>
    </row>
    <row r="303" spans="5:5" ht="16" x14ac:dyDescent="0.2">
      <c r="E303" s="10"/>
    </row>
    <row r="304" spans="5:5" ht="16" x14ac:dyDescent="0.2">
      <c r="E304" s="10"/>
    </row>
    <row r="305" spans="5:5" ht="16" x14ac:dyDescent="0.2">
      <c r="E305" s="10"/>
    </row>
    <row r="306" spans="5:5" ht="16" x14ac:dyDescent="0.2">
      <c r="E306" s="10"/>
    </row>
    <row r="307" spans="5:5" ht="16" x14ac:dyDescent="0.2">
      <c r="E307" s="10"/>
    </row>
    <row r="308" spans="5:5" ht="16" x14ac:dyDescent="0.2">
      <c r="E308" s="10"/>
    </row>
    <row r="309" spans="5:5" ht="16" x14ac:dyDescent="0.2">
      <c r="E309" s="10"/>
    </row>
    <row r="310" spans="5:5" ht="16" x14ac:dyDescent="0.2">
      <c r="E310" s="10"/>
    </row>
    <row r="311" spans="5:5" ht="16" x14ac:dyDescent="0.2">
      <c r="E311" s="10"/>
    </row>
    <row r="312" spans="5:5" ht="16" x14ac:dyDescent="0.2">
      <c r="E312" s="10"/>
    </row>
    <row r="313" spans="5:5" ht="16" x14ac:dyDescent="0.2">
      <c r="E313" s="10"/>
    </row>
    <row r="314" spans="5:5" ht="16" x14ac:dyDescent="0.2">
      <c r="E314" s="10"/>
    </row>
    <row r="315" spans="5:5" ht="16" x14ac:dyDescent="0.2">
      <c r="E315" s="10"/>
    </row>
    <row r="316" spans="5:5" ht="16" x14ac:dyDescent="0.2">
      <c r="E316" s="10"/>
    </row>
    <row r="317" spans="5:5" ht="16" x14ac:dyDescent="0.2">
      <c r="E317" s="10"/>
    </row>
    <row r="318" spans="5:5" ht="16" x14ac:dyDescent="0.2">
      <c r="E318" s="10"/>
    </row>
    <row r="319" spans="5:5" ht="16" x14ac:dyDescent="0.2">
      <c r="E319" s="10"/>
    </row>
    <row r="320" spans="5:5" ht="16" x14ac:dyDescent="0.2">
      <c r="E320" s="10"/>
    </row>
    <row r="321" spans="5:5" ht="16" x14ac:dyDescent="0.2">
      <c r="E321" s="10"/>
    </row>
    <row r="322" spans="5:5" ht="16" x14ac:dyDescent="0.2">
      <c r="E322" s="10"/>
    </row>
    <row r="323" spans="5:5" ht="16" x14ac:dyDescent="0.2">
      <c r="E323" s="10"/>
    </row>
    <row r="324" spans="5:5" ht="16" x14ac:dyDescent="0.2">
      <c r="E324" s="10"/>
    </row>
    <row r="325" spans="5:5" ht="16" x14ac:dyDescent="0.2">
      <c r="E325" s="10"/>
    </row>
    <row r="326" spans="5:5" ht="16" x14ac:dyDescent="0.2">
      <c r="E326" s="10"/>
    </row>
    <row r="327" spans="5:5" ht="16" x14ac:dyDescent="0.2">
      <c r="E327" s="10"/>
    </row>
    <row r="328" spans="5:5" ht="16" x14ac:dyDescent="0.2">
      <c r="E328" s="10"/>
    </row>
    <row r="329" spans="5:5" ht="16" x14ac:dyDescent="0.2">
      <c r="E329" s="10"/>
    </row>
    <row r="330" spans="5:5" ht="16" x14ac:dyDescent="0.2">
      <c r="E330" s="10"/>
    </row>
    <row r="331" spans="5:5" ht="16" x14ac:dyDescent="0.2">
      <c r="E331" s="10"/>
    </row>
    <row r="332" spans="5:5" ht="16" x14ac:dyDescent="0.2">
      <c r="E332" s="10"/>
    </row>
    <row r="333" spans="5:5" ht="16" x14ac:dyDescent="0.2">
      <c r="E333" s="10"/>
    </row>
    <row r="334" spans="5:5" ht="16" x14ac:dyDescent="0.2">
      <c r="E334" s="10"/>
    </row>
    <row r="335" spans="5:5" ht="16" x14ac:dyDescent="0.2">
      <c r="E335" s="10"/>
    </row>
    <row r="336" spans="5:5" ht="16" x14ac:dyDescent="0.2">
      <c r="E336" s="10"/>
    </row>
    <row r="337" spans="5:5" ht="16" x14ac:dyDescent="0.2">
      <c r="E337" s="10"/>
    </row>
    <row r="338" spans="5:5" ht="16" x14ac:dyDescent="0.2">
      <c r="E338" s="10"/>
    </row>
    <row r="339" spans="5:5" ht="16" x14ac:dyDescent="0.2">
      <c r="E339" s="10"/>
    </row>
    <row r="340" spans="5:5" ht="16" x14ac:dyDescent="0.2">
      <c r="E340" s="10"/>
    </row>
    <row r="341" spans="5:5" ht="16" x14ac:dyDescent="0.2">
      <c r="E341" s="10"/>
    </row>
    <row r="342" spans="5:5" ht="16" x14ac:dyDescent="0.2">
      <c r="E342" s="10"/>
    </row>
    <row r="343" spans="5:5" ht="16" x14ac:dyDescent="0.2">
      <c r="E343" s="10"/>
    </row>
    <row r="344" spans="5:5" ht="16" x14ac:dyDescent="0.2">
      <c r="E344" s="10"/>
    </row>
    <row r="345" spans="5:5" ht="16" x14ac:dyDescent="0.2">
      <c r="E345" s="10"/>
    </row>
    <row r="346" spans="5:5" ht="16" x14ac:dyDescent="0.2">
      <c r="E346" s="10"/>
    </row>
    <row r="347" spans="5:5" ht="16" x14ac:dyDescent="0.2">
      <c r="E347" s="10"/>
    </row>
    <row r="348" spans="5:5" ht="16" x14ac:dyDescent="0.2">
      <c r="E348" s="10"/>
    </row>
    <row r="349" spans="5:5" ht="16" x14ac:dyDescent="0.2">
      <c r="E349" s="10"/>
    </row>
    <row r="350" spans="5:5" ht="16" x14ac:dyDescent="0.2">
      <c r="E350" s="10"/>
    </row>
    <row r="351" spans="5:5" ht="16" x14ac:dyDescent="0.2">
      <c r="E351" s="10"/>
    </row>
    <row r="352" spans="5:5" ht="16" x14ac:dyDescent="0.2">
      <c r="E352" s="10"/>
    </row>
    <row r="353" spans="5:5" ht="16" x14ac:dyDescent="0.2">
      <c r="E353" s="10"/>
    </row>
    <row r="354" spans="5:5" ht="16" x14ac:dyDescent="0.2">
      <c r="E354" s="10"/>
    </row>
    <row r="355" spans="5:5" ht="16" x14ac:dyDescent="0.2">
      <c r="E355" s="10"/>
    </row>
    <row r="356" spans="5:5" ht="16" x14ac:dyDescent="0.2">
      <c r="E356" s="10"/>
    </row>
    <row r="357" spans="5:5" ht="16" x14ac:dyDescent="0.2">
      <c r="E357" s="10"/>
    </row>
    <row r="358" spans="5:5" ht="16" x14ac:dyDescent="0.2">
      <c r="E358" s="10"/>
    </row>
    <row r="359" spans="5:5" ht="16" x14ac:dyDescent="0.2">
      <c r="E359" s="10"/>
    </row>
    <row r="360" spans="5:5" ht="16" x14ac:dyDescent="0.2">
      <c r="E360" s="10"/>
    </row>
    <row r="361" spans="5:5" ht="16" x14ac:dyDescent="0.2">
      <c r="E361" s="10"/>
    </row>
    <row r="362" spans="5:5" ht="16" x14ac:dyDescent="0.2">
      <c r="E362" s="10"/>
    </row>
    <row r="363" spans="5:5" ht="16" x14ac:dyDescent="0.2">
      <c r="E363" s="10"/>
    </row>
    <row r="364" spans="5:5" ht="16" x14ac:dyDescent="0.2">
      <c r="E364" s="10"/>
    </row>
    <row r="365" spans="5:5" ht="16" x14ac:dyDescent="0.2">
      <c r="E365" s="10"/>
    </row>
    <row r="366" spans="5:5" ht="16" x14ac:dyDescent="0.2">
      <c r="E366" s="10"/>
    </row>
    <row r="367" spans="5:5" ht="16" x14ac:dyDescent="0.2">
      <c r="E367" s="10"/>
    </row>
    <row r="368" spans="5:5" ht="16" x14ac:dyDescent="0.2">
      <c r="E368" s="10"/>
    </row>
    <row r="369" spans="5:5" ht="16" x14ac:dyDescent="0.2">
      <c r="E369" s="10"/>
    </row>
    <row r="370" spans="5:5" ht="16" x14ac:dyDescent="0.2">
      <c r="E370" s="10"/>
    </row>
    <row r="371" spans="5:5" ht="16" x14ac:dyDescent="0.2">
      <c r="E371" s="10"/>
    </row>
    <row r="372" spans="5:5" ht="16" x14ac:dyDescent="0.2">
      <c r="E372" s="10"/>
    </row>
    <row r="373" spans="5:5" ht="16" x14ac:dyDescent="0.2">
      <c r="E373" s="10"/>
    </row>
    <row r="374" spans="5:5" ht="16" x14ac:dyDescent="0.2">
      <c r="E374" s="10"/>
    </row>
    <row r="375" spans="5:5" ht="16" x14ac:dyDescent="0.2">
      <c r="E375" s="10"/>
    </row>
    <row r="376" spans="5:5" ht="16" x14ac:dyDescent="0.2">
      <c r="E376" s="10"/>
    </row>
    <row r="377" spans="5:5" ht="16" x14ac:dyDescent="0.2">
      <c r="E377" s="10"/>
    </row>
    <row r="378" spans="5:5" ht="16" x14ac:dyDescent="0.2">
      <c r="E378" s="10"/>
    </row>
    <row r="379" spans="5:5" ht="16" x14ac:dyDescent="0.2">
      <c r="E379" s="10"/>
    </row>
    <row r="380" spans="5:5" ht="16" x14ac:dyDescent="0.2">
      <c r="E380" s="10"/>
    </row>
    <row r="381" spans="5:5" ht="16" x14ac:dyDescent="0.2">
      <c r="E381" s="10"/>
    </row>
    <row r="382" spans="5:5" ht="16" x14ac:dyDescent="0.2">
      <c r="E382" s="10"/>
    </row>
    <row r="383" spans="5:5" ht="16" x14ac:dyDescent="0.2">
      <c r="E383" s="10"/>
    </row>
    <row r="384" spans="5:5" ht="16" x14ac:dyDescent="0.2">
      <c r="E384" s="10"/>
    </row>
    <row r="385" spans="5:5" ht="16" x14ac:dyDescent="0.2">
      <c r="E385" s="10"/>
    </row>
    <row r="386" spans="5:5" ht="16" x14ac:dyDescent="0.2">
      <c r="E386" s="10"/>
    </row>
    <row r="387" spans="5:5" ht="16" x14ac:dyDescent="0.2">
      <c r="E387" s="10"/>
    </row>
    <row r="388" spans="5:5" ht="16" x14ac:dyDescent="0.2">
      <c r="E388" s="10"/>
    </row>
    <row r="389" spans="5:5" ht="16" x14ac:dyDescent="0.2">
      <c r="E389" s="10"/>
    </row>
    <row r="390" spans="5:5" ht="16" x14ac:dyDescent="0.2">
      <c r="E390" s="10"/>
    </row>
    <row r="391" spans="5:5" ht="16" x14ac:dyDescent="0.2">
      <c r="E391" s="10"/>
    </row>
    <row r="392" spans="5:5" ht="16" x14ac:dyDescent="0.2">
      <c r="E392" s="10"/>
    </row>
    <row r="393" spans="5:5" ht="16" x14ac:dyDescent="0.2">
      <c r="E393" s="10"/>
    </row>
    <row r="394" spans="5:5" ht="16" x14ac:dyDescent="0.2">
      <c r="E394" s="10"/>
    </row>
    <row r="395" spans="5:5" ht="16" x14ac:dyDescent="0.2">
      <c r="E395" s="10"/>
    </row>
    <row r="396" spans="5:5" ht="16" x14ac:dyDescent="0.2">
      <c r="E396" s="10"/>
    </row>
    <row r="397" spans="5:5" ht="16" x14ac:dyDescent="0.2">
      <c r="E397" s="10"/>
    </row>
    <row r="398" spans="5:5" ht="16" x14ac:dyDescent="0.2">
      <c r="E398" s="10"/>
    </row>
    <row r="399" spans="5:5" ht="16" x14ac:dyDescent="0.2">
      <c r="E399" s="10"/>
    </row>
    <row r="400" spans="5:5" ht="16" x14ac:dyDescent="0.2">
      <c r="E400" s="10"/>
    </row>
    <row r="401" spans="5:5" ht="16" x14ac:dyDescent="0.2">
      <c r="E401" s="10"/>
    </row>
    <row r="402" spans="5:5" ht="16" x14ac:dyDescent="0.2">
      <c r="E402" s="10"/>
    </row>
    <row r="403" spans="5:5" ht="16" x14ac:dyDescent="0.2">
      <c r="E403" s="10"/>
    </row>
    <row r="404" spans="5:5" ht="16" x14ac:dyDescent="0.2">
      <c r="E404" s="10"/>
    </row>
    <row r="405" spans="5:5" ht="16" x14ac:dyDescent="0.2">
      <c r="E405" s="10"/>
    </row>
    <row r="406" spans="5:5" ht="16" x14ac:dyDescent="0.2">
      <c r="E406" s="10"/>
    </row>
    <row r="407" spans="5:5" ht="16" x14ac:dyDescent="0.2">
      <c r="E407" s="10"/>
    </row>
    <row r="408" spans="5:5" ht="16" x14ac:dyDescent="0.2">
      <c r="E408" s="10"/>
    </row>
    <row r="409" spans="5:5" ht="16" x14ac:dyDescent="0.2">
      <c r="E409" s="10"/>
    </row>
    <row r="410" spans="5:5" ht="16" x14ac:dyDescent="0.2">
      <c r="E410" s="10"/>
    </row>
    <row r="411" spans="5:5" ht="16" x14ac:dyDescent="0.2">
      <c r="E411" s="10"/>
    </row>
    <row r="412" spans="5:5" ht="16" x14ac:dyDescent="0.2">
      <c r="E412" s="10"/>
    </row>
    <row r="413" spans="5:5" ht="16" x14ac:dyDescent="0.2">
      <c r="E413" s="10"/>
    </row>
    <row r="414" spans="5:5" ht="16" x14ac:dyDescent="0.2">
      <c r="E414" s="10"/>
    </row>
    <row r="415" spans="5:5" ht="16" x14ac:dyDescent="0.2">
      <c r="E415" s="10"/>
    </row>
    <row r="416" spans="5:5" ht="16" x14ac:dyDescent="0.2">
      <c r="E416" s="10"/>
    </row>
    <row r="417" spans="5:5" ht="16" x14ac:dyDescent="0.2">
      <c r="E417" s="10"/>
    </row>
    <row r="418" spans="5:5" ht="16" x14ac:dyDescent="0.2">
      <c r="E418" s="10"/>
    </row>
    <row r="419" spans="5:5" ht="16" x14ac:dyDescent="0.2">
      <c r="E419" s="10"/>
    </row>
    <row r="420" spans="5:5" ht="16" x14ac:dyDescent="0.2">
      <c r="E420" s="10"/>
    </row>
    <row r="421" spans="5:5" ht="16" x14ac:dyDescent="0.2">
      <c r="E421" s="10"/>
    </row>
    <row r="422" spans="5:5" ht="16" x14ac:dyDescent="0.2">
      <c r="E422" s="10"/>
    </row>
    <row r="423" spans="5:5" ht="16" x14ac:dyDescent="0.2">
      <c r="E423" s="10"/>
    </row>
    <row r="424" spans="5:5" ht="16" x14ac:dyDescent="0.2">
      <c r="E424" s="10"/>
    </row>
    <row r="425" spans="5:5" ht="16" x14ac:dyDescent="0.2">
      <c r="E425" s="10"/>
    </row>
    <row r="426" spans="5:5" ht="16" x14ac:dyDescent="0.2">
      <c r="E426" s="10"/>
    </row>
    <row r="427" spans="5:5" ht="16" x14ac:dyDescent="0.2">
      <c r="E427" s="10"/>
    </row>
    <row r="428" spans="5:5" ht="16" x14ac:dyDescent="0.2">
      <c r="E428" s="10"/>
    </row>
    <row r="429" spans="5:5" ht="16" x14ac:dyDescent="0.2">
      <c r="E429" s="10"/>
    </row>
    <row r="430" spans="5:5" ht="16" x14ac:dyDescent="0.2">
      <c r="E430" s="10"/>
    </row>
    <row r="431" spans="5:5" ht="16" x14ac:dyDescent="0.2">
      <c r="E431" s="10"/>
    </row>
    <row r="432" spans="5:5" ht="16" x14ac:dyDescent="0.2">
      <c r="E432" s="10"/>
    </row>
    <row r="433" spans="5:5" ht="16" x14ac:dyDescent="0.2">
      <c r="E433" s="10"/>
    </row>
    <row r="434" spans="5:5" ht="16" x14ac:dyDescent="0.2">
      <c r="E434" s="10"/>
    </row>
    <row r="435" spans="5:5" ht="16" x14ac:dyDescent="0.2">
      <c r="E435" s="10"/>
    </row>
    <row r="436" spans="5:5" ht="16" x14ac:dyDescent="0.2">
      <c r="E436" s="10"/>
    </row>
    <row r="437" spans="5:5" ht="16" x14ac:dyDescent="0.2">
      <c r="E437" s="10"/>
    </row>
    <row r="438" spans="5:5" ht="16" x14ac:dyDescent="0.2">
      <c r="E438" s="10"/>
    </row>
    <row r="439" spans="5:5" ht="16" x14ac:dyDescent="0.2">
      <c r="E439" s="10"/>
    </row>
    <row r="440" spans="5:5" ht="16" x14ac:dyDescent="0.2">
      <c r="E440" s="10"/>
    </row>
    <row r="441" spans="5:5" ht="16" x14ac:dyDescent="0.2">
      <c r="E441" s="10"/>
    </row>
    <row r="442" spans="5:5" ht="16" x14ac:dyDescent="0.2">
      <c r="E442" s="10"/>
    </row>
    <row r="443" spans="5:5" ht="16" x14ac:dyDescent="0.2">
      <c r="E443" s="10"/>
    </row>
    <row r="444" spans="5:5" ht="16" x14ac:dyDescent="0.2">
      <c r="E444" s="10"/>
    </row>
    <row r="445" spans="5:5" ht="16" x14ac:dyDescent="0.2">
      <c r="E445" s="10"/>
    </row>
    <row r="446" spans="5:5" ht="16" x14ac:dyDescent="0.2">
      <c r="E446" s="10"/>
    </row>
    <row r="447" spans="5:5" ht="16" x14ac:dyDescent="0.2">
      <c r="E447" s="10"/>
    </row>
    <row r="448" spans="5:5" ht="16" x14ac:dyDescent="0.2">
      <c r="E448" s="10"/>
    </row>
    <row r="449" spans="5:5" ht="16" x14ac:dyDescent="0.2">
      <c r="E449" s="10"/>
    </row>
    <row r="450" spans="5:5" ht="16" x14ac:dyDescent="0.2">
      <c r="E450" s="10"/>
    </row>
    <row r="451" spans="5:5" ht="16" x14ac:dyDescent="0.2">
      <c r="E451" s="10"/>
    </row>
    <row r="452" spans="5:5" ht="16" x14ac:dyDescent="0.2">
      <c r="E452" s="10"/>
    </row>
    <row r="453" spans="5:5" ht="16" x14ac:dyDescent="0.2">
      <c r="E453" s="10"/>
    </row>
    <row r="454" spans="5:5" ht="16" x14ac:dyDescent="0.2">
      <c r="E454" s="10"/>
    </row>
    <row r="455" spans="5:5" ht="16" x14ac:dyDescent="0.2">
      <c r="E455" s="10"/>
    </row>
    <row r="456" spans="5:5" ht="16" x14ac:dyDescent="0.2">
      <c r="E456" s="10"/>
    </row>
    <row r="457" spans="5:5" ht="16" x14ac:dyDescent="0.2">
      <c r="E457" s="10"/>
    </row>
    <row r="458" spans="5:5" ht="16" x14ac:dyDescent="0.2">
      <c r="E458" s="10"/>
    </row>
    <row r="459" spans="5:5" ht="16" x14ac:dyDescent="0.2">
      <c r="E459" s="10"/>
    </row>
    <row r="460" spans="5:5" ht="16" x14ac:dyDescent="0.2">
      <c r="E460" s="10"/>
    </row>
    <row r="461" spans="5:5" ht="16" x14ac:dyDescent="0.2">
      <c r="E461" s="10"/>
    </row>
    <row r="462" spans="5:5" ht="16" x14ac:dyDescent="0.2">
      <c r="E462" s="10"/>
    </row>
    <row r="463" spans="5:5" ht="16" x14ac:dyDescent="0.2">
      <c r="E463" s="10"/>
    </row>
    <row r="464" spans="5:5" ht="16" x14ac:dyDescent="0.2">
      <c r="E464" s="10"/>
    </row>
    <row r="465" spans="5:5" ht="16" x14ac:dyDescent="0.2">
      <c r="E465" s="10"/>
    </row>
    <row r="466" spans="5:5" ht="16" x14ac:dyDescent="0.2">
      <c r="E466" s="10"/>
    </row>
    <row r="467" spans="5:5" ht="16" x14ac:dyDescent="0.2">
      <c r="E467" s="10"/>
    </row>
    <row r="468" spans="5:5" ht="16" x14ac:dyDescent="0.2">
      <c r="E468" s="10"/>
    </row>
    <row r="469" spans="5:5" ht="16" x14ac:dyDescent="0.2">
      <c r="E469" s="10"/>
    </row>
    <row r="470" spans="5:5" ht="16" x14ac:dyDescent="0.2">
      <c r="E470" s="10"/>
    </row>
    <row r="471" spans="5:5" ht="16" x14ac:dyDescent="0.2">
      <c r="E471" s="10"/>
    </row>
    <row r="472" spans="5:5" ht="16" x14ac:dyDescent="0.2">
      <c r="E472" s="10"/>
    </row>
    <row r="473" spans="5:5" ht="16" x14ac:dyDescent="0.2">
      <c r="E473" s="10"/>
    </row>
    <row r="474" spans="5:5" ht="16" x14ac:dyDescent="0.2">
      <c r="E474" s="10"/>
    </row>
    <row r="475" spans="5:5" ht="16" x14ac:dyDescent="0.2">
      <c r="E475" s="10"/>
    </row>
    <row r="476" spans="5:5" ht="16" x14ac:dyDescent="0.2">
      <c r="E476" s="10"/>
    </row>
    <row r="477" spans="5:5" ht="16" x14ac:dyDescent="0.2">
      <c r="E477" s="10"/>
    </row>
    <row r="478" spans="5:5" ht="16" x14ac:dyDescent="0.2">
      <c r="E478" s="10"/>
    </row>
    <row r="479" spans="5:5" ht="16" x14ac:dyDescent="0.2">
      <c r="E479" s="10"/>
    </row>
    <row r="480" spans="5:5" ht="16" x14ac:dyDescent="0.2">
      <c r="E480" s="10"/>
    </row>
    <row r="481" spans="5:5" ht="16" x14ac:dyDescent="0.2">
      <c r="E481" s="10"/>
    </row>
    <row r="482" spans="5:5" ht="16" x14ac:dyDescent="0.2">
      <c r="E482" s="10"/>
    </row>
    <row r="483" spans="5:5" ht="16" x14ac:dyDescent="0.2">
      <c r="E483" s="10"/>
    </row>
    <row r="484" spans="5:5" ht="16" x14ac:dyDescent="0.2">
      <c r="E484" s="10"/>
    </row>
    <row r="485" spans="5:5" ht="16" x14ac:dyDescent="0.2">
      <c r="E485" s="10"/>
    </row>
    <row r="486" spans="5:5" ht="16" x14ac:dyDescent="0.2">
      <c r="E486" s="10"/>
    </row>
    <row r="487" spans="5:5" ht="16" x14ac:dyDescent="0.2">
      <c r="E487" s="10"/>
    </row>
    <row r="488" spans="5:5" ht="16" x14ac:dyDescent="0.2">
      <c r="E488" s="10"/>
    </row>
    <row r="489" spans="5:5" ht="16" x14ac:dyDescent="0.2">
      <c r="E489" s="10"/>
    </row>
    <row r="490" spans="5:5" ht="16" x14ac:dyDescent="0.2">
      <c r="E490" s="10"/>
    </row>
    <row r="491" spans="5:5" ht="16" x14ac:dyDescent="0.2">
      <c r="E491" s="10"/>
    </row>
    <row r="492" spans="5:5" ht="16" x14ac:dyDescent="0.2">
      <c r="E492" s="10"/>
    </row>
    <row r="493" spans="5:5" ht="16" x14ac:dyDescent="0.2">
      <c r="E493" s="10"/>
    </row>
    <row r="494" spans="5:5" ht="16" x14ac:dyDescent="0.2">
      <c r="E494" s="10"/>
    </row>
    <row r="495" spans="5:5" ht="16" x14ac:dyDescent="0.2">
      <c r="E495" s="10"/>
    </row>
    <row r="496" spans="5:5" ht="16" x14ac:dyDescent="0.2">
      <c r="E496" s="10"/>
    </row>
    <row r="497" spans="5:5" ht="16" x14ac:dyDescent="0.2">
      <c r="E497" s="10"/>
    </row>
    <row r="498" spans="5:5" ht="16" x14ac:dyDescent="0.2">
      <c r="E498" s="10"/>
    </row>
    <row r="499" spans="5:5" ht="16" x14ac:dyDescent="0.2">
      <c r="E499" s="10"/>
    </row>
    <row r="500" spans="5:5" ht="16" x14ac:dyDescent="0.2">
      <c r="E500" s="10"/>
    </row>
    <row r="501" spans="5:5" ht="16" x14ac:dyDescent="0.2">
      <c r="E501" s="10"/>
    </row>
    <row r="502" spans="5:5" ht="16" x14ac:dyDescent="0.2">
      <c r="E502" s="10"/>
    </row>
    <row r="503" spans="5:5" ht="16" x14ac:dyDescent="0.2">
      <c r="E503" s="10"/>
    </row>
    <row r="504" spans="5:5" ht="16" x14ac:dyDescent="0.2">
      <c r="E504" s="10"/>
    </row>
    <row r="505" spans="5:5" ht="16" x14ac:dyDescent="0.2">
      <c r="E505" s="10"/>
    </row>
    <row r="506" spans="5:5" ht="16" x14ac:dyDescent="0.2">
      <c r="E506" s="10"/>
    </row>
    <row r="507" spans="5:5" ht="16" x14ac:dyDescent="0.2">
      <c r="E507" s="10"/>
    </row>
    <row r="508" spans="5:5" ht="16" x14ac:dyDescent="0.2">
      <c r="E508" s="10"/>
    </row>
    <row r="509" spans="5:5" ht="16" x14ac:dyDescent="0.2">
      <c r="E509" s="10"/>
    </row>
    <row r="510" spans="5:5" ht="16" x14ac:dyDescent="0.2">
      <c r="E510" s="10"/>
    </row>
    <row r="511" spans="5:5" ht="16" x14ac:dyDescent="0.2">
      <c r="E511" s="10"/>
    </row>
    <row r="512" spans="5:5" ht="16" x14ac:dyDescent="0.2">
      <c r="E512" s="10"/>
    </row>
    <row r="513" spans="5:5" ht="16" x14ac:dyDescent="0.2">
      <c r="E513" s="10"/>
    </row>
    <row r="514" spans="5:5" ht="16" x14ac:dyDescent="0.2">
      <c r="E514" s="10"/>
    </row>
    <row r="515" spans="5:5" ht="16" x14ac:dyDescent="0.2">
      <c r="E515" s="10"/>
    </row>
    <row r="516" spans="5:5" ht="16" x14ac:dyDescent="0.2">
      <c r="E516" s="10"/>
    </row>
    <row r="517" spans="5:5" ht="16" x14ac:dyDescent="0.2">
      <c r="E517" s="10"/>
    </row>
    <row r="518" spans="5:5" ht="16" x14ac:dyDescent="0.2">
      <c r="E518" s="10"/>
    </row>
    <row r="519" spans="5:5" ht="16" x14ac:dyDescent="0.2">
      <c r="E519" s="10"/>
    </row>
    <row r="520" spans="5:5" ht="16" x14ac:dyDescent="0.2">
      <c r="E520" s="10"/>
    </row>
    <row r="521" spans="5:5" ht="16" x14ac:dyDescent="0.2">
      <c r="E521" s="10"/>
    </row>
    <row r="522" spans="5:5" ht="16" x14ac:dyDescent="0.2">
      <c r="E522" s="10"/>
    </row>
    <row r="523" spans="5:5" ht="16" x14ac:dyDescent="0.2">
      <c r="E523" s="10"/>
    </row>
    <row r="524" spans="5:5" ht="16" x14ac:dyDescent="0.2">
      <c r="E524" s="10"/>
    </row>
    <row r="525" spans="5:5" ht="16" x14ac:dyDescent="0.2">
      <c r="E525" s="10"/>
    </row>
    <row r="526" spans="5:5" ht="16" x14ac:dyDescent="0.2">
      <c r="E526" s="10"/>
    </row>
    <row r="527" spans="5:5" ht="16" x14ac:dyDescent="0.2">
      <c r="E527" s="10"/>
    </row>
    <row r="528" spans="5:5" ht="16" x14ac:dyDescent="0.2">
      <c r="E528" s="10"/>
    </row>
    <row r="529" spans="5:5" ht="16" x14ac:dyDescent="0.2">
      <c r="E529" s="10"/>
    </row>
    <row r="530" spans="5:5" ht="16" x14ac:dyDescent="0.2">
      <c r="E530" s="10"/>
    </row>
    <row r="531" spans="5:5" ht="16" x14ac:dyDescent="0.2">
      <c r="E531" s="10"/>
    </row>
    <row r="532" spans="5:5" ht="16" x14ac:dyDescent="0.2">
      <c r="E532" s="10"/>
    </row>
    <row r="533" spans="5:5" ht="16" x14ac:dyDescent="0.2">
      <c r="E533" s="10"/>
    </row>
    <row r="534" spans="5:5" ht="16" x14ac:dyDescent="0.2">
      <c r="E534" s="10"/>
    </row>
    <row r="535" spans="5:5" ht="16" x14ac:dyDescent="0.2">
      <c r="E535" s="10"/>
    </row>
    <row r="536" spans="5:5" ht="16" x14ac:dyDescent="0.2">
      <c r="E536" s="10"/>
    </row>
    <row r="537" spans="5:5" ht="16" x14ac:dyDescent="0.2">
      <c r="E537" s="10"/>
    </row>
    <row r="538" spans="5:5" ht="16" x14ac:dyDescent="0.2">
      <c r="E538" s="10"/>
    </row>
    <row r="539" spans="5:5" ht="16" x14ac:dyDescent="0.2">
      <c r="E539" s="10"/>
    </row>
    <row r="540" spans="5:5" ht="16" x14ac:dyDescent="0.2">
      <c r="E540" s="10"/>
    </row>
    <row r="541" spans="5:5" ht="16" x14ac:dyDescent="0.2">
      <c r="E541" s="10"/>
    </row>
    <row r="542" spans="5:5" ht="16" x14ac:dyDescent="0.2">
      <c r="E542" s="10"/>
    </row>
    <row r="543" spans="5:5" ht="16" x14ac:dyDescent="0.2">
      <c r="E543" s="10"/>
    </row>
    <row r="544" spans="5:5" ht="16" x14ac:dyDescent="0.2">
      <c r="E544" s="10"/>
    </row>
    <row r="545" spans="5:5" ht="16" x14ac:dyDescent="0.2">
      <c r="E545" s="10"/>
    </row>
    <row r="546" spans="5:5" ht="16" x14ac:dyDescent="0.2">
      <c r="E546" s="10"/>
    </row>
    <row r="547" spans="5:5" ht="16" x14ac:dyDescent="0.2">
      <c r="E547" s="10"/>
    </row>
    <row r="548" spans="5:5" ht="16" x14ac:dyDescent="0.2">
      <c r="E548" s="10"/>
    </row>
    <row r="549" spans="5:5" ht="16" x14ac:dyDescent="0.2">
      <c r="E549" s="10"/>
    </row>
    <row r="550" spans="5:5" ht="16" x14ac:dyDescent="0.2">
      <c r="E550" s="10"/>
    </row>
    <row r="551" spans="5:5" ht="16" x14ac:dyDescent="0.2">
      <c r="E551" s="10"/>
    </row>
    <row r="552" spans="5:5" ht="16" x14ac:dyDescent="0.2">
      <c r="E552" s="10"/>
    </row>
    <row r="553" spans="5:5" ht="16" x14ac:dyDescent="0.2">
      <c r="E553" s="10"/>
    </row>
    <row r="554" spans="5:5" ht="16" x14ac:dyDescent="0.2">
      <c r="E554" s="10"/>
    </row>
    <row r="555" spans="5:5" ht="16" x14ac:dyDescent="0.2">
      <c r="E555" s="10"/>
    </row>
    <row r="556" spans="5:5" ht="16" x14ac:dyDescent="0.2">
      <c r="E556" s="10"/>
    </row>
    <row r="557" spans="5:5" ht="16" x14ac:dyDescent="0.2">
      <c r="E557" s="10"/>
    </row>
    <row r="558" spans="5:5" ht="16" x14ac:dyDescent="0.2">
      <c r="E558" s="10"/>
    </row>
    <row r="559" spans="5:5" ht="16" x14ac:dyDescent="0.2">
      <c r="E559" s="10"/>
    </row>
    <row r="560" spans="5:5" ht="16" x14ac:dyDescent="0.2">
      <c r="E560" s="10"/>
    </row>
    <row r="561" spans="5:5" ht="16" x14ac:dyDescent="0.2">
      <c r="E561" s="10"/>
    </row>
    <row r="562" spans="5:5" ht="16" x14ac:dyDescent="0.2">
      <c r="E562" s="10"/>
    </row>
    <row r="563" spans="5:5" ht="16" x14ac:dyDescent="0.2">
      <c r="E563" s="10"/>
    </row>
    <row r="564" spans="5:5" ht="16" x14ac:dyDescent="0.2">
      <c r="E564" s="10"/>
    </row>
    <row r="565" spans="5:5" ht="16" x14ac:dyDescent="0.2">
      <c r="E565" s="10"/>
    </row>
    <row r="566" spans="5:5" ht="16" x14ac:dyDescent="0.2">
      <c r="E566" s="10"/>
    </row>
    <row r="567" spans="5:5" ht="16" x14ac:dyDescent="0.2">
      <c r="E567" s="10"/>
    </row>
    <row r="568" spans="5:5" ht="16" x14ac:dyDescent="0.2">
      <c r="E568" s="10"/>
    </row>
    <row r="569" spans="5:5" ht="16" x14ac:dyDescent="0.2">
      <c r="E569" s="10"/>
    </row>
    <row r="570" spans="5:5" ht="16" x14ac:dyDescent="0.2">
      <c r="E570" s="10"/>
    </row>
    <row r="571" spans="5:5" ht="16" x14ac:dyDescent="0.2">
      <c r="E571" s="10"/>
    </row>
    <row r="572" spans="5:5" ht="16" x14ac:dyDescent="0.2">
      <c r="E572" s="10"/>
    </row>
    <row r="573" spans="5:5" ht="16" x14ac:dyDescent="0.2">
      <c r="E573" s="10"/>
    </row>
    <row r="574" spans="5:5" ht="16" x14ac:dyDescent="0.2">
      <c r="E574" s="10"/>
    </row>
    <row r="575" spans="5:5" ht="16" x14ac:dyDescent="0.2">
      <c r="E575" s="10"/>
    </row>
    <row r="576" spans="5:5" ht="16" x14ac:dyDescent="0.2">
      <c r="E576" s="10"/>
    </row>
    <row r="577" spans="5:5" ht="16" x14ac:dyDescent="0.2">
      <c r="E577" s="10"/>
    </row>
    <row r="578" spans="5:5" ht="16" x14ac:dyDescent="0.2">
      <c r="E578" s="10"/>
    </row>
    <row r="579" spans="5:5" ht="16" x14ac:dyDescent="0.2">
      <c r="E579" s="10"/>
    </row>
    <row r="580" spans="5:5" ht="16" x14ac:dyDescent="0.2">
      <c r="E580" s="10"/>
    </row>
    <row r="581" spans="5:5" ht="16" x14ac:dyDescent="0.2">
      <c r="E581" s="10"/>
    </row>
    <row r="582" spans="5:5" ht="16" x14ac:dyDescent="0.2">
      <c r="E582" s="10"/>
    </row>
    <row r="583" spans="5:5" ht="16" x14ac:dyDescent="0.2">
      <c r="E583" s="10"/>
    </row>
    <row r="584" spans="5:5" ht="16" x14ac:dyDescent="0.2">
      <c r="E584" s="10"/>
    </row>
    <row r="585" spans="5:5" ht="16" x14ac:dyDescent="0.2">
      <c r="E585" s="10"/>
    </row>
    <row r="586" spans="5:5" ht="16" x14ac:dyDescent="0.2">
      <c r="E586" s="10"/>
    </row>
    <row r="587" spans="5:5" ht="16" x14ac:dyDescent="0.2">
      <c r="E587" s="10"/>
    </row>
    <row r="588" spans="5:5" ht="16" x14ac:dyDescent="0.2">
      <c r="E588" s="10"/>
    </row>
    <row r="589" spans="5:5" ht="16" x14ac:dyDescent="0.2">
      <c r="E589" s="10"/>
    </row>
    <row r="590" spans="5:5" ht="16" x14ac:dyDescent="0.2">
      <c r="E590" s="10"/>
    </row>
    <row r="591" spans="5:5" ht="16" x14ac:dyDescent="0.2">
      <c r="E591" s="10"/>
    </row>
    <row r="592" spans="5:5" ht="16" x14ac:dyDescent="0.2">
      <c r="E592" s="10"/>
    </row>
    <row r="593" spans="5:5" ht="16" x14ac:dyDescent="0.2">
      <c r="E593" s="10"/>
    </row>
    <row r="594" spans="5:5" ht="16" x14ac:dyDescent="0.2">
      <c r="E594" s="10"/>
    </row>
    <row r="595" spans="5:5" ht="16" x14ac:dyDescent="0.2">
      <c r="E595" s="10"/>
    </row>
    <row r="596" spans="5:5" ht="16" x14ac:dyDescent="0.2">
      <c r="E596" s="10"/>
    </row>
    <row r="597" spans="5:5" ht="16" x14ac:dyDescent="0.2">
      <c r="E597" s="10"/>
    </row>
    <row r="598" spans="5:5" ht="16" x14ac:dyDescent="0.2">
      <c r="E598" s="10"/>
    </row>
    <row r="599" spans="5:5" ht="16" x14ac:dyDescent="0.2">
      <c r="E599" s="10"/>
    </row>
    <row r="600" spans="5:5" ht="16" x14ac:dyDescent="0.2">
      <c r="E600" s="10"/>
    </row>
    <row r="601" spans="5:5" ht="16" x14ac:dyDescent="0.2">
      <c r="E601" s="10"/>
    </row>
    <row r="602" spans="5:5" ht="16" x14ac:dyDescent="0.2">
      <c r="E602" s="10"/>
    </row>
    <row r="603" spans="5:5" ht="16" x14ac:dyDescent="0.2">
      <c r="E603" s="10"/>
    </row>
    <row r="604" spans="5:5" ht="16" x14ac:dyDescent="0.2">
      <c r="E604" s="10"/>
    </row>
    <row r="605" spans="5:5" ht="16" x14ac:dyDescent="0.2">
      <c r="E605" s="10"/>
    </row>
    <row r="606" spans="5:5" ht="16" x14ac:dyDescent="0.2">
      <c r="E606" s="10"/>
    </row>
    <row r="607" spans="5:5" ht="16" x14ac:dyDescent="0.2">
      <c r="E607" s="10"/>
    </row>
    <row r="608" spans="5:5" ht="16" x14ac:dyDescent="0.2">
      <c r="E608" s="10"/>
    </row>
    <row r="609" spans="5:5" ht="16" x14ac:dyDescent="0.2">
      <c r="E609" s="10"/>
    </row>
    <row r="610" spans="5:5" ht="16" x14ac:dyDescent="0.2">
      <c r="E610" s="10"/>
    </row>
    <row r="611" spans="5:5" ht="16" x14ac:dyDescent="0.2">
      <c r="E611" s="10"/>
    </row>
    <row r="612" spans="5:5" ht="16" x14ac:dyDescent="0.2">
      <c r="E612" s="10"/>
    </row>
    <row r="613" spans="5:5" ht="16" x14ac:dyDescent="0.2">
      <c r="E613" s="10"/>
    </row>
    <row r="614" spans="5:5" ht="16" x14ac:dyDescent="0.2">
      <c r="E614" s="10"/>
    </row>
    <row r="615" spans="5:5" ht="16" x14ac:dyDescent="0.2">
      <c r="E615" s="10"/>
    </row>
    <row r="616" spans="5:5" ht="16" x14ac:dyDescent="0.2">
      <c r="E616" s="10"/>
    </row>
    <row r="617" spans="5:5" ht="16" x14ac:dyDescent="0.2">
      <c r="E617" s="10"/>
    </row>
    <row r="618" spans="5:5" ht="16" x14ac:dyDescent="0.2">
      <c r="E618" s="10"/>
    </row>
    <row r="619" spans="5:5" ht="16" x14ac:dyDescent="0.2">
      <c r="E619" s="10"/>
    </row>
    <row r="620" spans="5:5" ht="16" x14ac:dyDescent="0.2">
      <c r="E620" s="10"/>
    </row>
    <row r="621" spans="5:5" ht="16" x14ac:dyDescent="0.2">
      <c r="E621" s="10"/>
    </row>
    <row r="622" spans="5:5" ht="16" x14ac:dyDescent="0.2">
      <c r="E622" s="10"/>
    </row>
    <row r="623" spans="5:5" ht="16" x14ac:dyDescent="0.2">
      <c r="E623" s="10"/>
    </row>
    <row r="624" spans="5:5" ht="16" x14ac:dyDescent="0.2">
      <c r="E624" s="10"/>
    </row>
    <row r="625" spans="5:5" ht="16" x14ac:dyDescent="0.2">
      <c r="E625" s="10"/>
    </row>
    <row r="626" spans="5:5" ht="16" x14ac:dyDescent="0.2">
      <c r="E626" s="10"/>
    </row>
    <row r="627" spans="5:5" ht="16" x14ac:dyDescent="0.2">
      <c r="E627" s="10"/>
    </row>
    <row r="628" spans="5:5" ht="16" x14ac:dyDescent="0.2">
      <c r="E628" s="10"/>
    </row>
    <row r="629" spans="5:5" ht="16" x14ac:dyDescent="0.2">
      <c r="E629" s="10"/>
    </row>
    <row r="630" spans="5:5" ht="16" x14ac:dyDescent="0.2">
      <c r="E630" s="10"/>
    </row>
    <row r="631" spans="5:5" ht="16" x14ac:dyDescent="0.2">
      <c r="E631" s="10"/>
    </row>
    <row r="632" spans="5:5" ht="16" x14ac:dyDescent="0.2">
      <c r="E632" s="10"/>
    </row>
    <row r="633" spans="5:5" ht="16" x14ac:dyDescent="0.2">
      <c r="E633" s="10"/>
    </row>
    <row r="634" spans="5:5" ht="16" x14ac:dyDescent="0.2">
      <c r="E634" s="10"/>
    </row>
    <row r="635" spans="5:5" ht="16" x14ac:dyDescent="0.2">
      <c r="E635" s="10"/>
    </row>
    <row r="636" spans="5:5" ht="16" x14ac:dyDescent="0.2">
      <c r="E636" s="10"/>
    </row>
    <row r="637" spans="5:5" ht="16" x14ac:dyDescent="0.2">
      <c r="E637" s="10"/>
    </row>
    <row r="638" spans="5:5" ht="16" x14ac:dyDescent="0.2">
      <c r="E638" s="10"/>
    </row>
    <row r="639" spans="5:5" ht="16" x14ac:dyDescent="0.2">
      <c r="E639" s="10"/>
    </row>
    <row r="640" spans="5:5" ht="16" x14ac:dyDescent="0.2">
      <c r="E640" s="10"/>
    </row>
    <row r="641" spans="5:5" ht="16" x14ac:dyDescent="0.2">
      <c r="E641" s="10"/>
    </row>
    <row r="642" spans="5:5" ht="16" x14ac:dyDescent="0.2">
      <c r="E642" s="10"/>
    </row>
    <row r="643" spans="5:5" ht="16" x14ac:dyDescent="0.2">
      <c r="E643" s="10"/>
    </row>
    <row r="644" spans="5:5" ht="16" x14ac:dyDescent="0.2">
      <c r="E644" s="10"/>
    </row>
    <row r="645" spans="5:5" ht="16" x14ac:dyDescent="0.2">
      <c r="E645" s="10"/>
    </row>
    <row r="646" spans="5:5" ht="16" x14ac:dyDescent="0.2">
      <c r="E646" s="10"/>
    </row>
    <row r="647" spans="5:5" ht="16" x14ac:dyDescent="0.2">
      <c r="E647" s="10"/>
    </row>
    <row r="648" spans="5:5" ht="16" x14ac:dyDescent="0.2">
      <c r="E648" s="10"/>
    </row>
    <row r="649" spans="5:5" ht="16" x14ac:dyDescent="0.2">
      <c r="E649" s="10"/>
    </row>
    <row r="650" spans="5:5" ht="16" x14ac:dyDescent="0.2">
      <c r="E650" s="10"/>
    </row>
    <row r="651" spans="5:5" ht="16" x14ac:dyDescent="0.2">
      <c r="E651" s="10"/>
    </row>
    <row r="652" spans="5:5" ht="16" x14ac:dyDescent="0.2">
      <c r="E652" s="10"/>
    </row>
    <row r="653" spans="5:5" ht="16" x14ac:dyDescent="0.2">
      <c r="E653" s="10"/>
    </row>
    <row r="654" spans="5:5" ht="16" x14ac:dyDescent="0.2">
      <c r="E654" s="10"/>
    </row>
    <row r="655" spans="5:5" ht="16" x14ac:dyDescent="0.2">
      <c r="E655" s="10"/>
    </row>
    <row r="656" spans="5:5" ht="16" x14ac:dyDescent="0.2">
      <c r="E656" s="10"/>
    </row>
    <row r="657" spans="5:5" ht="16" x14ac:dyDescent="0.2">
      <c r="E657" s="10"/>
    </row>
    <row r="658" spans="5:5" ht="16" x14ac:dyDescent="0.2">
      <c r="E658" s="10"/>
    </row>
    <row r="659" spans="5:5" ht="16" x14ac:dyDescent="0.2">
      <c r="E659" s="10"/>
    </row>
    <row r="660" spans="5:5" ht="16" x14ac:dyDescent="0.2">
      <c r="E660" s="10"/>
    </row>
    <row r="661" spans="5:5" ht="16" x14ac:dyDescent="0.2">
      <c r="E661" s="10"/>
    </row>
    <row r="662" spans="5:5" ht="16" x14ac:dyDescent="0.2">
      <c r="E662" s="10"/>
    </row>
    <row r="663" spans="5:5" ht="16" x14ac:dyDescent="0.2">
      <c r="E663" s="10"/>
    </row>
    <row r="664" spans="5:5" ht="16" x14ac:dyDescent="0.2">
      <c r="E664" s="10"/>
    </row>
    <row r="665" spans="5:5" ht="16" x14ac:dyDescent="0.2">
      <c r="E665" s="10"/>
    </row>
    <row r="666" spans="5:5" ht="16" x14ac:dyDescent="0.2">
      <c r="E666" s="10"/>
    </row>
    <row r="667" spans="5:5" ht="16" x14ac:dyDescent="0.2">
      <c r="E667" s="10"/>
    </row>
    <row r="668" spans="5:5" ht="16" x14ac:dyDescent="0.2">
      <c r="E668" s="10"/>
    </row>
    <row r="669" spans="5:5" ht="16" x14ac:dyDescent="0.2">
      <c r="E669" s="10"/>
    </row>
    <row r="670" spans="5:5" ht="16" x14ac:dyDescent="0.2">
      <c r="E670" s="10"/>
    </row>
    <row r="671" spans="5:5" ht="16" x14ac:dyDescent="0.2">
      <c r="E671" s="10"/>
    </row>
    <row r="672" spans="5:5" ht="16" x14ac:dyDescent="0.2">
      <c r="E672" s="10"/>
    </row>
    <row r="673" spans="5:5" ht="16" x14ac:dyDescent="0.2">
      <c r="E673" s="10"/>
    </row>
    <row r="674" spans="5:5" ht="16" x14ac:dyDescent="0.2">
      <c r="E674" s="10"/>
    </row>
    <row r="675" spans="5:5" ht="16" x14ac:dyDescent="0.2">
      <c r="E675" s="10"/>
    </row>
    <row r="676" spans="5:5" ht="16" x14ac:dyDescent="0.2">
      <c r="E676" s="10"/>
    </row>
    <row r="677" spans="5:5" ht="16" x14ac:dyDescent="0.2">
      <c r="E677" s="10"/>
    </row>
    <row r="678" spans="5:5" ht="16" x14ac:dyDescent="0.2">
      <c r="E678" s="10"/>
    </row>
    <row r="679" spans="5:5" ht="16" x14ac:dyDescent="0.2">
      <c r="E679" s="10"/>
    </row>
    <row r="680" spans="5:5" ht="16" x14ac:dyDescent="0.2">
      <c r="E680" s="10"/>
    </row>
    <row r="681" spans="5:5" ht="16" x14ac:dyDescent="0.2">
      <c r="E681" s="10"/>
    </row>
    <row r="682" spans="5:5" ht="16" x14ac:dyDescent="0.2">
      <c r="E682" s="10"/>
    </row>
    <row r="683" spans="5:5" ht="16" x14ac:dyDescent="0.2">
      <c r="E683" s="10"/>
    </row>
    <row r="684" spans="5:5" ht="16" x14ac:dyDescent="0.2">
      <c r="E684" s="10"/>
    </row>
    <row r="685" spans="5:5" ht="16" x14ac:dyDescent="0.2">
      <c r="E685" s="10"/>
    </row>
    <row r="686" spans="5:5" ht="16" x14ac:dyDescent="0.2">
      <c r="E686" s="10"/>
    </row>
    <row r="687" spans="5:5" ht="16" x14ac:dyDescent="0.2">
      <c r="E687" s="10"/>
    </row>
    <row r="688" spans="5:5" ht="16" x14ac:dyDescent="0.2">
      <c r="E688" s="10"/>
    </row>
    <row r="689" spans="5:5" ht="16" x14ac:dyDescent="0.2">
      <c r="E689" s="10"/>
    </row>
    <row r="690" spans="5:5" ht="16" x14ac:dyDescent="0.2">
      <c r="E690" s="10"/>
    </row>
    <row r="691" spans="5:5" ht="16" x14ac:dyDescent="0.2">
      <c r="E691" s="10"/>
    </row>
    <row r="692" spans="5:5" ht="16" x14ac:dyDescent="0.2">
      <c r="E692" s="10"/>
    </row>
    <row r="693" spans="5:5" ht="16" x14ac:dyDescent="0.2">
      <c r="E693" s="10"/>
    </row>
    <row r="694" spans="5:5" ht="16" x14ac:dyDescent="0.2">
      <c r="E694" s="10"/>
    </row>
    <row r="695" spans="5:5" ht="16" x14ac:dyDescent="0.2">
      <c r="E695" s="10"/>
    </row>
    <row r="696" spans="5:5" ht="16" x14ac:dyDescent="0.2">
      <c r="E696" s="10"/>
    </row>
    <row r="697" spans="5:5" ht="16" x14ac:dyDescent="0.2">
      <c r="E697" s="10"/>
    </row>
    <row r="698" spans="5:5" ht="16" x14ac:dyDescent="0.2">
      <c r="E698" s="10"/>
    </row>
    <row r="699" spans="5:5" ht="16" x14ac:dyDescent="0.2">
      <c r="E699" s="10"/>
    </row>
    <row r="700" spans="5:5" ht="16" x14ac:dyDescent="0.2">
      <c r="E700" s="10"/>
    </row>
    <row r="701" spans="5:5" ht="16" x14ac:dyDescent="0.2">
      <c r="E701" s="10"/>
    </row>
    <row r="702" spans="5:5" ht="16" x14ac:dyDescent="0.2">
      <c r="E702" s="10"/>
    </row>
    <row r="703" spans="5:5" ht="16" x14ac:dyDescent="0.2">
      <c r="E703" s="10"/>
    </row>
    <row r="704" spans="5:5" ht="16" x14ac:dyDescent="0.2">
      <c r="E704" s="10"/>
    </row>
    <row r="705" spans="5:5" ht="16" x14ac:dyDescent="0.2">
      <c r="E705" s="10"/>
    </row>
    <row r="706" spans="5:5" ht="16" x14ac:dyDescent="0.2">
      <c r="E706" s="10"/>
    </row>
    <row r="707" spans="5:5" ht="16" x14ac:dyDescent="0.2">
      <c r="E707" s="10"/>
    </row>
    <row r="708" spans="5:5" ht="16" x14ac:dyDescent="0.2">
      <c r="E708" s="10"/>
    </row>
    <row r="709" spans="5:5" ht="16" x14ac:dyDescent="0.2">
      <c r="E709" s="10"/>
    </row>
    <row r="710" spans="5:5" ht="16" x14ac:dyDescent="0.2">
      <c r="E710" s="10"/>
    </row>
    <row r="711" spans="5:5" ht="16" x14ac:dyDescent="0.2">
      <c r="E711" s="10"/>
    </row>
    <row r="712" spans="5:5" ht="16" x14ac:dyDescent="0.2">
      <c r="E712" s="10"/>
    </row>
    <row r="713" spans="5:5" ht="16" x14ac:dyDescent="0.2">
      <c r="E713" s="10"/>
    </row>
    <row r="714" spans="5:5" ht="16" x14ac:dyDescent="0.2">
      <c r="E714" s="10"/>
    </row>
    <row r="715" spans="5:5" ht="16" x14ac:dyDescent="0.2">
      <c r="E715" s="10"/>
    </row>
    <row r="716" spans="5:5" ht="16" x14ac:dyDescent="0.2">
      <c r="E716" s="10"/>
    </row>
    <row r="717" spans="5:5" ht="16" x14ac:dyDescent="0.2">
      <c r="E717" s="10"/>
    </row>
    <row r="718" spans="5:5" ht="16" x14ac:dyDescent="0.2">
      <c r="E718" s="10"/>
    </row>
    <row r="719" spans="5:5" ht="16" x14ac:dyDescent="0.2">
      <c r="E719" s="10"/>
    </row>
    <row r="720" spans="5:5" ht="16" x14ac:dyDescent="0.2">
      <c r="E720" s="10"/>
    </row>
    <row r="721" spans="5:5" ht="16" x14ac:dyDescent="0.2">
      <c r="E721" s="10"/>
    </row>
    <row r="722" spans="5:5" ht="16" x14ac:dyDescent="0.2">
      <c r="E722" s="10"/>
    </row>
    <row r="723" spans="5:5" ht="16" x14ac:dyDescent="0.2">
      <c r="E723" s="10"/>
    </row>
    <row r="724" spans="5:5" ht="16" x14ac:dyDescent="0.2">
      <c r="E724" s="10"/>
    </row>
    <row r="725" spans="5:5" ht="16" x14ac:dyDescent="0.2">
      <c r="E725" s="10"/>
    </row>
    <row r="726" spans="5:5" ht="16" x14ac:dyDescent="0.2">
      <c r="E726" s="10"/>
    </row>
    <row r="727" spans="5:5" ht="16" x14ac:dyDescent="0.2">
      <c r="E727" s="10"/>
    </row>
    <row r="728" spans="5:5" ht="16" x14ac:dyDescent="0.2">
      <c r="E728" s="10"/>
    </row>
    <row r="729" spans="5:5" ht="16" x14ac:dyDescent="0.2">
      <c r="E729" s="10"/>
    </row>
    <row r="730" spans="5:5" ht="16" x14ac:dyDescent="0.2">
      <c r="E730" s="10"/>
    </row>
    <row r="731" spans="5:5" ht="16" x14ac:dyDescent="0.2">
      <c r="E731" s="10"/>
    </row>
    <row r="732" spans="5:5" ht="16" x14ac:dyDescent="0.2">
      <c r="E732" s="10"/>
    </row>
    <row r="733" spans="5:5" ht="16" x14ac:dyDescent="0.2">
      <c r="E733" s="10"/>
    </row>
    <row r="734" spans="5:5" ht="16" x14ac:dyDescent="0.2">
      <c r="E734" s="10"/>
    </row>
    <row r="735" spans="5:5" ht="16" x14ac:dyDescent="0.2">
      <c r="E735" s="10"/>
    </row>
    <row r="736" spans="5:5" ht="16" x14ac:dyDescent="0.2">
      <c r="E736" s="10"/>
    </row>
    <row r="737" spans="5:5" ht="16" x14ac:dyDescent="0.2">
      <c r="E737" s="10"/>
    </row>
    <row r="738" spans="5:5" ht="16" x14ac:dyDescent="0.2">
      <c r="E738" s="10"/>
    </row>
    <row r="739" spans="5:5" ht="16" x14ac:dyDescent="0.2">
      <c r="E739" s="10"/>
    </row>
    <row r="740" spans="5:5" ht="16" x14ac:dyDescent="0.2">
      <c r="E740" s="10"/>
    </row>
    <row r="741" spans="5:5" ht="16" x14ac:dyDescent="0.2">
      <c r="E741" s="10"/>
    </row>
    <row r="742" spans="5:5" ht="16" x14ac:dyDescent="0.2">
      <c r="E742" s="10"/>
    </row>
    <row r="743" spans="5:5" ht="16" x14ac:dyDescent="0.2">
      <c r="E743" s="10"/>
    </row>
    <row r="744" spans="5:5" ht="16" x14ac:dyDescent="0.2">
      <c r="E744" s="10"/>
    </row>
    <row r="745" spans="5:5" ht="16" x14ac:dyDescent="0.2">
      <c r="E745" s="10"/>
    </row>
    <row r="746" spans="5:5" ht="16" x14ac:dyDescent="0.2">
      <c r="E746" s="10"/>
    </row>
    <row r="747" spans="5:5" ht="16" x14ac:dyDescent="0.2">
      <c r="E747" s="10"/>
    </row>
    <row r="748" spans="5:5" ht="16" x14ac:dyDescent="0.2">
      <c r="E748" s="10"/>
    </row>
    <row r="749" spans="5:5" ht="16" x14ac:dyDescent="0.2">
      <c r="E749" s="10"/>
    </row>
    <row r="750" spans="5:5" ht="16" x14ac:dyDescent="0.2">
      <c r="E750" s="10"/>
    </row>
    <row r="751" spans="5:5" ht="16" x14ac:dyDescent="0.2">
      <c r="E751" s="10"/>
    </row>
    <row r="752" spans="5:5" ht="16" x14ac:dyDescent="0.2">
      <c r="E752" s="10"/>
    </row>
    <row r="753" spans="5:5" ht="16" x14ac:dyDescent="0.2">
      <c r="E753" s="10"/>
    </row>
    <row r="754" spans="5:5" ht="16" x14ac:dyDescent="0.2">
      <c r="E754" s="10"/>
    </row>
    <row r="755" spans="5:5" ht="16" x14ac:dyDescent="0.2">
      <c r="E755" s="10"/>
    </row>
    <row r="756" spans="5:5" ht="16" x14ac:dyDescent="0.2">
      <c r="E756" s="10"/>
    </row>
    <row r="757" spans="5:5" ht="16" x14ac:dyDescent="0.2">
      <c r="E757" s="10"/>
    </row>
    <row r="758" spans="5:5" ht="16" x14ac:dyDescent="0.2">
      <c r="E758" s="10"/>
    </row>
    <row r="759" spans="5:5" ht="16" x14ac:dyDescent="0.2">
      <c r="E759" s="10"/>
    </row>
    <row r="760" spans="5:5" ht="16" x14ac:dyDescent="0.2">
      <c r="E760" s="10"/>
    </row>
    <row r="761" spans="5:5" ht="16" x14ac:dyDescent="0.2">
      <c r="E761" s="10"/>
    </row>
    <row r="762" spans="5:5" ht="16" x14ac:dyDescent="0.2">
      <c r="E762" s="10"/>
    </row>
    <row r="763" spans="5:5" ht="16" x14ac:dyDescent="0.2">
      <c r="E763" s="10"/>
    </row>
    <row r="764" spans="5:5" ht="16" x14ac:dyDescent="0.2">
      <c r="E764" s="10"/>
    </row>
    <row r="765" spans="5:5" ht="16" x14ac:dyDescent="0.2">
      <c r="E765" s="10"/>
    </row>
    <row r="766" spans="5:5" ht="16" x14ac:dyDescent="0.2">
      <c r="E766" s="10"/>
    </row>
    <row r="767" spans="5:5" ht="16" x14ac:dyDescent="0.2">
      <c r="E767" s="10"/>
    </row>
    <row r="768" spans="5:5" ht="16" x14ac:dyDescent="0.2">
      <c r="E768" s="10"/>
    </row>
    <row r="769" spans="5:5" ht="16" x14ac:dyDescent="0.2">
      <c r="E769" s="10"/>
    </row>
    <row r="770" spans="5:5" ht="16" x14ac:dyDescent="0.2">
      <c r="E770" s="10"/>
    </row>
    <row r="771" spans="5:5" ht="16" x14ac:dyDescent="0.2">
      <c r="E771" s="10"/>
    </row>
    <row r="772" spans="5:5" ht="16" x14ac:dyDescent="0.2">
      <c r="E772" s="10"/>
    </row>
    <row r="773" spans="5:5" ht="16" x14ac:dyDescent="0.2">
      <c r="E773" s="10"/>
    </row>
    <row r="774" spans="5:5" ht="16" x14ac:dyDescent="0.2">
      <c r="E774" s="10"/>
    </row>
    <row r="775" spans="5:5" ht="16" x14ac:dyDescent="0.2">
      <c r="E775" s="10"/>
    </row>
    <row r="776" spans="5:5" ht="16" x14ac:dyDescent="0.2">
      <c r="E776" s="10"/>
    </row>
    <row r="777" spans="5:5" ht="16" x14ac:dyDescent="0.2">
      <c r="E777" s="10"/>
    </row>
    <row r="778" spans="5:5" ht="16" x14ac:dyDescent="0.2">
      <c r="E778" s="10"/>
    </row>
    <row r="779" spans="5:5" ht="16" x14ac:dyDescent="0.2">
      <c r="E779" s="10"/>
    </row>
    <row r="780" spans="5:5" ht="16" x14ac:dyDescent="0.2">
      <c r="E780" s="10"/>
    </row>
    <row r="781" spans="5:5" ht="16" x14ac:dyDescent="0.2">
      <c r="E781" s="10"/>
    </row>
    <row r="782" spans="5:5" ht="16" x14ac:dyDescent="0.2">
      <c r="E782" s="10"/>
    </row>
    <row r="783" spans="5:5" ht="16" x14ac:dyDescent="0.2">
      <c r="E783" s="10"/>
    </row>
    <row r="784" spans="5:5" ht="16" x14ac:dyDescent="0.2">
      <c r="E784" s="10"/>
    </row>
    <row r="785" spans="5:5" ht="16" x14ac:dyDescent="0.2">
      <c r="E785" s="10"/>
    </row>
    <row r="786" spans="5:5" ht="16" x14ac:dyDescent="0.2">
      <c r="E786" s="10"/>
    </row>
    <row r="787" spans="5:5" ht="16" x14ac:dyDescent="0.2">
      <c r="E787" s="10"/>
    </row>
    <row r="788" spans="5:5" ht="16" x14ac:dyDescent="0.2">
      <c r="E788" s="10"/>
    </row>
    <row r="789" spans="5:5" ht="16" x14ac:dyDescent="0.2">
      <c r="E789" s="10"/>
    </row>
    <row r="790" spans="5:5" ht="16" x14ac:dyDescent="0.2">
      <c r="E790" s="10"/>
    </row>
    <row r="791" spans="5:5" ht="16" x14ac:dyDescent="0.2">
      <c r="E791" s="10"/>
    </row>
    <row r="792" spans="5:5" ht="16" x14ac:dyDescent="0.2">
      <c r="E792" s="10"/>
    </row>
    <row r="793" spans="5:5" ht="16" x14ac:dyDescent="0.2">
      <c r="E793" s="10"/>
    </row>
    <row r="794" spans="5:5" ht="16" x14ac:dyDescent="0.2">
      <c r="E794" s="10"/>
    </row>
    <row r="795" spans="5:5" ht="16" x14ac:dyDescent="0.2">
      <c r="E795" s="10"/>
    </row>
    <row r="796" spans="5:5" ht="16" x14ac:dyDescent="0.2">
      <c r="E796" s="10"/>
    </row>
    <row r="797" spans="5:5" ht="16" x14ac:dyDescent="0.2">
      <c r="E797" s="10"/>
    </row>
    <row r="798" spans="5:5" ht="16" x14ac:dyDescent="0.2">
      <c r="E798" s="10"/>
    </row>
    <row r="799" spans="5:5" ht="16" x14ac:dyDescent="0.2">
      <c r="E799" s="10"/>
    </row>
    <row r="800" spans="5:5" ht="16" x14ac:dyDescent="0.2">
      <c r="E800" s="10"/>
    </row>
    <row r="801" spans="5:5" ht="16" x14ac:dyDescent="0.2">
      <c r="E801" s="10"/>
    </row>
    <row r="802" spans="5:5" ht="16" x14ac:dyDescent="0.2">
      <c r="E802" s="10"/>
    </row>
    <row r="803" spans="5:5" ht="16" x14ac:dyDescent="0.2">
      <c r="E803" s="10"/>
    </row>
    <row r="804" spans="5:5" ht="16" x14ac:dyDescent="0.2">
      <c r="E804" s="10"/>
    </row>
    <row r="805" spans="5:5" ht="16" x14ac:dyDescent="0.2">
      <c r="E805" s="10"/>
    </row>
    <row r="806" spans="5:5" ht="16" x14ac:dyDescent="0.2">
      <c r="E806" s="10"/>
    </row>
    <row r="807" spans="5:5" ht="16" x14ac:dyDescent="0.2">
      <c r="E807" s="10"/>
    </row>
    <row r="808" spans="5:5" ht="16" x14ac:dyDescent="0.2">
      <c r="E808" s="10"/>
    </row>
    <row r="809" spans="5:5" ht="16" x14ac:dyDescent="0.2">
      <c r="E809" s="10"/>
    </row>
    <row r="810" spans="5:5" ht="16" x14ac:dyDescent="0.2">
      <c r="E810" s="10"/>
    </row>
    <row r="811" spans="5:5" ht="16" x14ac:dyDescent="0.2">
      <c r="E811" s="10"/>
    </row>
    <row r="812" spans="5:5" ht="16" x14ac:dyDescent="0.2">
      <c r="E812" s="10"/>
    </row>
    <row r="813" spans="5:5" ht="16" x14ac:dyDescent="0.2">
      <c r="E813" s="10"/>
    </row>
    <row r="814" spans="5:5" ht="16" x14ac:dyDescent="0.2">
      <c r="E814" s="10"/>
    </row>
    <row r="815" spans="5:5" ht="16" x14ac:dyDescent="0.2">
      <c r="E815" s="10"/>
    </row>
    <row r="816" spans="5:5" ht="16" x14ac:dyDescent="0.2">
      <c r="E816" s="10"/>
    </row>
    <row r="817" spans="5:5" ht="16" x14ac:dyDescent="0.2">
      <c r="E817" s="10"/>
    </row>
    <row r="818" spans="5:5" ht="16" x14ac:dyDescent="0.2">
      <c r="E818" s="10"/>
    </row>
    <row r="819" spans="5:5" ht="16" x14ac:dyDescent="0.2">
      <c r="E819" s="10"/>
    </row>
    <row r="820" spans="5:5" ht="16" x14ac:dyDescent="0.2">
      <c r="E820" s="10"/>
    </row>
    <row r="821" spans="5:5" ht="16" x14ac:dyDescent="0.2">
      <c r="E821" s="10"/>
    </row>
    <row r="822" spans="5:5" ht="16" x14ac:dyDescent="0.2">
      <c r="E822" s="10"/>
    </row>
    <row r="823" spans="5:5" ht="16" x14ac:dyDescent="0.2">
      <c r="E823" s="10"/>
    </row>
    <row r="824" spans="5:5" ht="16" x14ac:dyDescent="0.2">
      <c r="E824" s="10"/>
    </row>
    <row r="825" spans="5:5" ht="16" x14ac:dyDescent="0.2">
      <c r="E825" s="10"/>
    </row>
    <row r="826" spans="5:5" ht="16" x14ac:dyDescent="0.2">
      <c r="E826" s="10"/>
    </row>
    <row r="827" spans="5:5" ht="16" x14ac:dyDescent="0.2">
      <c r="E827" s="10"/>
    </row>
    <row r="828" spans="5:5" ht="16" x14ac:dyDescent="0.2">
      <c r="E828" s="10"/>
    </row>
    <row r="829" spans="5:5" ht="16" x14ac:dyDescent="0.2">
      <c r="E829" s="10"/>
    </row>
    <row r="830" spans="5:5" ht="16" x14ac:dyDescent="0.2">
      <c r="E830" s="10"/>
    </row>
    <row r="831" spans="5:5" ht="16" x14ac:dyDescent="0.2">
      <c r="E831" s="10"/>
    </row>
    <row r="832" spans="5:5" ht="16" x14ac:dyDescent="0.2">
      <c r="E832" s="10"/>
    </row>
    <row r="833" spans="5:5" ht="16" x14ac:dyDescent="0.2">
      <c r="E833" s="10"/>
    </row>
    <row r="834" spans="5:5" ht="16" x14ac:dyDescent="0.2">
      <c r="E834" s="10"/>
    </row>
    <row r="835" spans="5:5" ht="16" x14ac:dyDescent="0.2">
      <c r="E835" s="10"/>
    </row>
    <row r="836" spans="5:5" ht="16" x14ac:dyDescent="0.2">
      <c r="E836" s="10"/>
    </row>
    <row r="837" spans="5:5" ht="16" x14ac:dyDescent="0.2">
      <c r="E837" s="10"/>
    </row>
    <row r="838" spans="5:5" ht="16" x14ac:dyDescent="0.2">
      <c r="E838" s="10"/>
    </row>
    <row r="839" spans="5:5" ht="16" x14ac:dyDescent="0.2">
      <c r="E839" s="10"/>
    </row>
    <row r="840" spans="5:5" ht="16" x14ac:dyDescent="0.2">
      <c r="E840" s="10"/>
    </row>
    <row r="841" spans="5:5" ht="16" x14ac:dyDescent="0.2">
      <c r="E841" s="10"/>
    </row>
    <row r="842" spans="5:5" ht="16" x14ac:dyDescent="0.2">
      <c r="E842" s="10"/>
    </row>
    <row r="843" spans="5:5" ht="16" x14ac:dyDescent="0.2">
      <c r="E843" s="10"/>
    </row>
    <row r="844" spans="5:5" ht="16" x14ac:dyDescent="0.2">
      <c r="E844" s="10"/>
    </row>
    <row r="845" spans="5:5" ht="16" x14ac:dyDescent="0.2">
      <c r="E845" s="10"/>
    </row>
    <row r="846" spans="5:5" ht="16" x14ac:dyDescent="0.2">
      <c r="E846" s="10"/>
    </row>
    <row r="847" spans="5:5" ht="16" x14ac:dyDescent="0.2">
      <c r="E847" s="10"/>
    </row>
    <row r="848" spans="5:5" ht="16" x14ac:dyDescent="0.2">
      <c r="E848" s="10"/>
    </row>
    <row r="849" spans="5:5" ht="16" x14ac:dyDescent="0.2">
      <c r="E849" s="10"/>
    </row>
    <row r="850" spans="5:5" ht="16" x14ac:dyDescent="0.2">
      <c r="E850" s="10"/>
    </row>
    <row r="851" spans="5:5" ht="16" x14ac:dyDescent="0.2">
      <c r="E851" s="10"/>
    </row>
    <row r="852" spans="5:5" ht="16" x14ac:dyDescent="0.2">
      <c r="E852" s="10"/>
    </row>
    <row r="853" spans="5:5" ht="16" x14ac:dyDescent="0.2">
      <c r="E853" s="10"/>
    </row>
    <row r="854" spans="5:5" ht="16" x14ac:dyDescent="0.2">
      <c r="E854" s="10"/>
    </row>
    <row r="855" spans="5:5" ht="16" x14ac:dyDescent="0.2">
      <c r="E855" s="10"/>
    </row>
    <row r="856" spans="5:5" ht="16" x14ac:dyDescent="0.2">
      <c r="E856" s="10"/>
    </row>
    <row r="857" spans="5:5" ht="16" x14ac:dyDescent="0.2">
      <c r="E857" s="10"/>
    </row>
    <row r="858" spans="5:5" ht="16" x14ac:dyDescent="0.2">
      <c r="E858" s="10"/>
    </row>
    <row r="859" spans="5:5" ht="16" x14ac:dyDescent="0.2">
      <c r="E859" s="10"/>
    </row>
    <row r="860" spans="5:5" ht="16" x14ac:dyDescent="0.2">
      <c r="E860" s="10"/>
    </row>
    <row r="861" spans="5:5" ht="16" x14ac:dyDescent="0.2">
      <c r="E861" s="10"/>
    </row>
    <row r="862" spans="5:5" ht="16" x14ac:dyDescent="0.2">
      <c r="E862" s="10"/>
    </row>
    <row r="863" spans="5:5" ht="16" x14ac:dyDescent="0.2">
      <c r="E863" s="10"/>
    </row>
    <row r="864" spans="5:5" ht="16" x14ac:dyDescent="0.2">
      <c r="E864" s="10"/>
    </row>
    <row r="865" spans="5:5" ht="16" x14ac:dyDescent="0.2">
      <c r="E865" s="10"/>
    </row>
    <row r="866" spans="5:5" ht="16" x14ac:dyDescent="0.2">
      <c r="E866" s="10"/>
    </row>
    <row r="867" spans="5:5" ht="16" x14ac:dyDescent="0.2">
      <c r="E867" s="10"/>
    </row>
    <row r="868" spans="5:5" ht="16" x14ac:dyDescent="0.2">
      <c r="E868" s="10"/>
    </row>
    <row r="869" spans="5:5" ht="16" x14ac:dyDescent="0.2">
      <c r="E869" s="10"/>
    </row>
    <row r="870" spans="5:5" ht="16" x14ac:dyDescent="0.2">
      <c r="E870" s="10"/>
    </row>
    <row r="871" spans="5:5" ht="16" x14ac:dyDescent="0.2">
      <c r="E871" s="10"/>
    </row>
    <row r="872" spans="5:5" ht="16" x14ac:dyDescent="0.2">
      <c r="E872" s="10"/>
    </row>
    <row r="873" spans="5:5" ht="16" x14ac:dyDescent="0.2">
      <c r="E873" s="10"/>
    </row>
    <row r="874" spans="5:5" ht="16" x14ac:dyDescent="0.2">
      <c r="E874" s="10"/>
    </row>
    <row r="875" spans="5:5" ht="16" x14ac:dyDescent="0.2">
      <c r="E875" s="10"/>
    </row>
    <row r="876" spans="5:5" ht="16" x14ac:dyDescent="0.2">
      <c r="E876" s="10"/>
    </row>
    <row r="877" spans="5:5" ht="16" x14ac:dyDescent="0.2">
      <c r="E877" s="10"/>
    </row>
    <row r="878" spans="5:5" ht="16" x14ac:dyDescent="0.2">
      <c r="E878" s="10"/>
    </row>
    <row r="879" spans="5:5" ht="16" x14ac:dyDescent="0.2">
      <c r="E879" s="10"/>
    </row>
    <row r="880" spans="5:5" ht="16" x14ac:dyDescent="0.2">
      <c r="E880" s="10"/>
    </row>
    <row r="881" spans="5:5" ht="16" x14ac:dyDescent="0.2">
      <c r="E881" s="10"/>
    </row>
    <row r="882" spans="5:5" ht="16" x14ac:dyDescent="0.2">
      <c r="E882" s="10"/>
    </row>
    <row r="883" spans="5:5" ht="16" x14ac:dyDescent="0.2">
      <c r="E883" s="10"/>
    </row>
    <row r="884" spans="5:5" ht="16" x14ac:dyDescent="0.2">
      <c r="E884" s="10"/>
    </row>
    <row r="885" spans="5:5" ht="16" x14ac:dyDescent="0.2">
      <c r="E885" s="10"/>
    </row>
    <row r="886" spans="5:5" ht="16" x14ac:dyDescent="0.2">
      <c r="E886" s="10"/>
    </row>
    <row r="887" spans="5:5" ht="16" x14ac:dyDescent="0.2">
      <c r="E887" s="10"/>
    </row>
    <row r="888" spans="5:5" ht="16" x14ac:dyDescent="0.2">
      <c r="E888" s="10"/>
    </row>
    <row r="889" spans="5:5" ht="16" x14ac:dyDescent="0.2">
      <c r="E889" s="10"/>
    </row>
    <row r="890" spans="5:5" ht="16" x14ac:dyDescent="0.2">
      <c r="E890" s="10"/>
    </row>
    <row r="891" spans="5:5" ht="16" x14ac:dyDescent="0.2">
      <c r="E891" s="10"/>
    </row>
    <row r="892" spans="5:5" ht="16" x14ac:dyDescent="0.2">
      <c r="E892" s="10"/>
    </row>
    <row r="893" spans="5:5" ht="16" x14ac:dyDescent="0.2">
      <c r="E893" s="10"/>
    </row>
    <row r="894" spans="5:5" ht="16" x14ac:dyDescent="0.2">
      <c r="E894" s="10"/>
    </row>
    <row r="895" spans="5:5" ht="16" x14ac:dyDescent="0.2">
      <c r="E895" s="10"/>
    </row>
    <row r="896" spans="5:5" ht="16" x14ac:dyDescent="0.2">
      <c r="E896" s="10"/>
    </row>
    <row r="897" spans="5:5" ht="16" x14ac:dyDescent="0.2">
      <c r="E897" s="10"/>
    </row>
    <row r="898" spans="5:5" ht="16" x14ac:dyDescent="0.2">
      <c r="E898" s="10"/>
    </row>
    <row r="899" spans="5:5" ht="16" x14ac:dyDescent="0.2">
      <c r="E899" s="10"/>
    </row>
    <row r="900" spans="5:5" ht="16" x14ac:dyDescent="0.2">
      <c r="E900" s="10"/>
    </row>
    <row r="901" spans="5:5" ht="16" x14ac:dyDescent="0.2">
      <c r="E901" s="10"/>
    </row>
    <row r="902" spans="5:5" ht="16" x14ac:dyDescent="0.2">
      <c r="E902" s="10"/>
    </row>
    <row r="903" spans="5:5" ht="16" x14ac:dyDescent="0.2">
      <c r="E903" s="10"/>
    </row>
    <row r="904" spans="5:5" ht="16" x14ac:dyDescent="0.2">
      <c r="E904" s="10"/>
    </row>
    <row r="905" spans="5:5" ht="16" x14ac:dyDescent="0.2">
      <c r="E905" s="10"/>
    </row>
    <row r="906" spans="5:5" ht="16" x14ac:dyDescent="0.2">
      <c r="E906" s="10"/>
    </row>
    <row r="907" spans="5:5" ht="16" x14ac:dyDescent="0.2">
      <c r="E907" s="10"/>
    </row>
    <row r="908" spans="5:5" ht="16" x14ac:dyDescent="0.2">
      <c r="E908" s="10"/>
    </row>
    <row r="909" spans="5:5" ht="16" x14ac:dyDescent="0.2">
      <c r="E909" s="10"/>
    </row>
    <row r="910" spans="5:5" ht="16" x14ac:dyDescent="0.2">
      <c r="E910" s="10"/>
    </row>
    <row r="911" spans="5:5" ht="16" x14ac:dyDescent="0.2">
      <c r="E911" s="10"/>
    </row>
    <row r="912" spans="5:5" ht="16" x14ac:dyDescent="0.2">
      <c r="E912" s="10"/>
    </row>
    <row r="913" spans="5:5" ht="16" x14ac:dyDescent="0.2">
      <c r="E913" s="10"/>
    </row>
    <row r="914" spans="5:5" ht="16" x14ac:dyDescent="0.2">
      <c r="E914" s="10"/>
    </row>
    <row r="915" spans="5:5" ht="16" x14ac:dyDescent="0.2">
      <c r="E915" s="10"/>
    </row>
    <row r="916" spans="5:5" ht="16" x14ac:dyDescent="0.2">
      <c r="E916" s="10"/>
    </row>
    <row r="917" spans="5:5" ht="16" x14ac:dyDescent="0.2">
      <c r="E917" s="10"/>
    </row>
    <row r="918" spans="5:5" ht="16" x14ac:dyDescent="0.2">
      <c r="E918" s="10"/>
    </row>
    <row r="919" spans="5:5" ht="16" x14ac:dyDescent="0.2">
      <c r="E919" s="10"/>
    </row>
    <row r="920" spans="5:5" ht="16" x14ac:dyDescent="0.2">
      <c r="E920" s="10"/>
    </row>
    <row r="921" spans="5:5" ht="16" x14ac:dyDescent="0.2">
      <c r="E921" s="10"/>
    </row>
    <row r="922" spans="5:5" ht="16" x14ac:dyDescent="0.2">
      <c r="E922" s="10"/>
    </row>
    <row r="923" spans="5:5" ht="16" x14ac:dyDescent="0.2">
      <c r="E923" s="10"/>
    </row>
    <row r="924" spans="5:5" ht="16" x14ac:dyDescent="0.2">
      <c r="E924" s="10"/>
    </row>
    <row r="925" spans="5:5" ht="16" x14ac:dyDescent="0.2">
      <c r="E925" s="10"/>
    </row>
    <row r="926" spans="5:5" ht="16" x14ac:dyDescent="0.2">
      <c r="E926" s="10"/>
    </row>
    <row r="927" spans="5:5" ht="16" x14ac:dyDescent="0.2">
      <c r="E927" s="10"/>
    </row>
    <row r="928" spans="5:5" ht="16" x14ac:dyDescent="0.2">
      <c r="E928" s="10"/>
    </row>
    <row r="929" spans="5:5" ht="16" x14ac:dyDescent="0.2">
      <c r="E929" s="10"/>
    </row>
    <row r="930" spans="5:5" ht="16" x14ac:dyDescent="0.2">
      <c r="E930" s="10"/>
    </row>
    <row r="931" spans="5:5" ht="16" x14ac:dyDescent="0.2">
      <c r="E931" s="10"/>
    </row>
    <row r="932" spans="5:5" ht="16" x14ac:dyDescent="0.2">
      <c r="E932" s="10"/>
    </row>
    <row r="933" spans="5:5" ht="16" x14ac:dyDescent="0.2">
      <c r="E933" s="10"/>
    </row>
    <row r="934" spans="5:5" ht="16" x14ac:dyDescent="0.2">
      <c r="E934" s="10"/>
    </row>
    <row r="935" spans="5:5" ht="16" x14ac:dyDescent="0.2">
      <c r="E935" s="10"/>
    </row>
    <row r="936" spans="5:5" ht="16" x14ac:dyDescent="0.2">
      <c r="E936" s="10"/>
    </row>
    <row r="937" spans="5:5" ht="16" x14ac:dyDescent="0.2">
      <c r="E937" s="10"/>
    </row>
    <row r="938" spans="5:5" ht="16" x14ac:dyDescent="0.2">
      <c r="E938" s="10"/>
    </row>
    <row r="939" spans="5:5" ht="16" x14ac:dyDescent="0.2">
      <c r="E939" s="10"/>
    </row>
    <row r="940" spans="5:5" ht="16" x14ac:dyDescent="0.2">
      <c r="E940" s="10"/>
    </row>
    <row r="941" spans="5:5" ht="16" x14ac:dyDescent="0.2">
      <c r="E941" s="10"/>
    </row>
    <row r="942" spans="5:5" ht="16" x14ac:dyDescent="0.2">
      <c r="E942" s="10"/>
    </row>
    <row r="943" spans="5:5" ht="16" x14ac:dyDescent="0.2">
      <c r="E943" s="10"/>
    </row>
    <row r="944" spans="5:5" ht="16" x14ac:dyDescent="0.2">
      <c r="E944" s="10"/>
    </row>
    <row r="945" spans="5:5" ht="16" x14ac:dyDescent="0.2">
      <c r="E945" s="10"/>
    </row>
    <row r="946" spans="5:5" ht="16" x14ac:dyDescent="0.2">
      <c r="E946" s="10"/>
    </row>
    <row r="947" spans="5:5" ht="16" x14ac:dyDescent="0.2">
      <c r="E947" s="10"/>
    </row>
    <row r="948" spans="5:5" ht="16" x14ac:dyDescent="0.2">
      <c r="E948" s="10"/>
    </row>
    <row r="949" spans="5:5" ht="16" x14ac:dyDescent="0.2">
      <c r="E949" s="10"/>
    </row>
    <row r="950" spans="5:5" ht="16" x14ac:dyDescent="0.2">
      <c r="E950" s="10"/>
    </row>
    <row r="951" spans="5:5" ht="16" x14ac:dyDescent="0.2">
      <c r="E951" s="10"/>
    </row>
    <row r="952" spans="5:5" ht="16" x14ac:dyDescent="0.2">
      <c r="E952" s="10"/>
    </row>
    <row r="953" spans="5:5" ht="16" x14ac:dyDescent="0.2">
      <c r="E953" s="10"/>
    </row>
    <row r="954" spans="5:5" ht="16" x14ac:dyDescent="0.2">
      <c r="E954" s="10"/>
    </row>
    <row r="955" spans="5:5" ht="16" x14ac:dyDescent="0.2">
      <c r="E955" s="10"/>
    </row>
    <row r="956" spans="5:5" ht="16" x14ac:dyDescent="0.2">
      <c r="E956" s="10"/>
    </row>
    <row r="957" spans="5:5" ht="16" x14ac:dyDescent="0.2">
      <c r="E957" s="10"/>
    </row>
    <row r="958" spans="5:5" ht="16" x14ac:dyDescent="0.2">
      <c r="E958" s="10"/>
    </row>
    <row r="959" spans="5:5" ht="16" x14ac:dyDescent="0.2">
      <c r="E959" s="10"/>
    </row>
    <row r="960" spans="5:5" ht="16" x14ac:dyDescent="0.2">
      <c r="E960" s="10"/>
    </row>
    <row r="961" spans="5:5" ht="16" x14ac:dyDescent="0.2">
      <c r="E961" s="10"/>
    </row>
    <row r="962" spans="5:5" ht="16" x14ac:dyDescent="0.2">
      <c r="E962" s="10"/>
    </row>
    <row r="963" spans="5:5" ht="16" x14ac:dyDescent="0.2">
      <c r="E963" s="10"/>
    </row>
    <row r="964" spans="5:5" ht="16" x14ac:dyDescent="0.2">
      <c r="E964" s="10"/>
    </row>
    <row r="965" spans="5:5" ht="16" x14ac:dyDescent="0.2">
      <c r="E965" s="10"/>
    </row>
    <row r="966" spans="5:5" ht="16" x14ac:dyDescent="0.2">
      <c r="E966" s="10"/>
    </row>
    <row r="967" spans="5:5" ht="16" x14ac:dyDescent="0.2">
      <c r="E967" s="10"/>
    </row>
    <row r="968" spans="5:5" ht="16" x14ac:dyDescent="0.2">
      <c r="E968" s="10"/>
    </row>
    <row r="969" spans="5:5" ht="16" x14ac:dyDescent="0.2">
      <c r="E969" s="10"/>
    </row>
    <row r="970" spans="5:5" ht="16" x14ac:dyDescent="0.2">
      <c r="E970" s="10"/>
    </row>
    <row r="971" spans="5:5" ht="16" x14ac:dyDescent="0.2">
      <c r="E971" s="10"/>
    </row>
    <row r="972" spans="5:5" ht="16" x14ac:dyDescent="0.2">
      <c r="E972" s="10"/>
    </row>
    <row r="973" spans="5:5" ht="16" x14ac:dyDescent="0.2">
      <c r="E973" s="10"/>
    </row>
    <row r="974" spans="5:5" ht="16" x14ac:dyDescent="0.2">
      <c r="E974" s="10"/>
    </row>
    <row r="975" spans="5:5" ht="16" x14ac:dyDescent="0.2">
      <c r="E975" s="10"/>
    </row>
    <row r="976" spans="5:5" ht="16" x14ac:dyDescent="0.2">
      <c r="E976" s="10"/>
    </row>
    <row r="977" spans="5:5" ht="16" x14ac:dyDescent="0.2">
      <c r="E977" s="10"/>
    </row>
    <row r="978" spans="5:5" ht="16" x14ac:dyDescent="0.2">
      <c r="E978" s="10"/>
    </row>
    <row r="979" spans="5:5" ht="16" x14ac:dyDescent="0.2">
      <c r="E979" s="10"/>
    </row>
    <row r="980" spans="5:5" ht="16" x14ac:dyDescent="0.2">
      <c r="E980" s="10"/>
    </row>
    <row r="981" spans="5:5" ht="16" x14ac:dyDescent="0.2">
      <c r="E981" s="10"/>
    </row>
    <row r="982" spans="5:5" ht="16" x14ac:dyDescent="0.2">
      <c r="E982" s="10"/>
    </row>
    <row r="983" spans="5:5" ht="16" x14ac:dyDescent="0.2">
      <c r="E983" s="10"/>
    </row>
    <row r="984" spans="5:5" ht="16" x14ac:dyDescent="0.2">
      <c r="E984" s="10"/>
    </row>
    <row r="985" spans="5:5" ht="16" x14ac:dyDescent="0.2">
      <c r="E985" s="10"/>
    </row>
    <row r="986" spans="5:5" ht="16" x14ac:dyDescent="0.2">
      <c r="E986" s="10"/>
    </row>
    <row r="987" spans="5:5" ht="16" x14ac:dyDescent="0.2">
      <c r="E987" s="10"/>
    </row>
    <row r="988" spans="5:5" ht="16" x14ac:dyDescent="0.2">
      <c r="E988" s="10"/>
    </row>
    <row r="989" spans="5:5" ht="16" x14ac:dyDescent="0.2">
      <c r="E989" s="10"/>
    </row>
    <row r="990" spans="5:5" ht="16" x14ac:dyDescent="0.2">
      <c r="E990" s="10"/>
    </row>
    <row r="991" spans="5:5" ht="16" x14ac:dyDescent="0.2">
      <c r="E991" s="10"/>
    </row>
    <row r="992" spans="5:5" ht="16" x14ac:dyDescent="0.2">
      <c r="E992" s="10"/>
    </row>
    <row r="993" spans="5:5" ht="16" x14ac:dyDescent="0.2">
      <c r="E993" s="10"/>
    </row>
    <row r="994" spans="5:5" ht="16" x14ac:dyDescent="0.2">
      <c r="E994" s="10"/>
    </row>
    <row r="995" spans="5:5" ht="16" x14ac:dyDescent="0.2">
      <c r="E995" s="10"/>
    </row>
    <row r="996" spans="5:5" ht="16" x14ac:dyDescent="0.2">
      <c r="E996" s="10"/>
    </row>
    <row r="997" spans="5:5" ht="16" x14ac:dyDescent="0.2">
      <c r="E997" s="10"/>
    </row>
    <row r="998" spans="5:5" ht="16" x14ac:dyDescent="0.2">
      <c r="E998" s="10"/>
    </row>
    <row r="999" spans="5:5" ht="16" x14ac:dyDescent="0.2">
      <c r="E999" s="10"/>
    </row>
    <row r="1000" spans="5:5" ht="16" x14ac:dyDescent="0.2">
      <c r="E1000" s="10"/>
    </row>
  </sheetData>
  <phoneticPr fontId="8" type="noConversion"/>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BC1D6-9C51-414C-B451-6610550E4527}">
  <sheetPr codeName="Feuil6"/>
  <dimension ref="A1:G1000"/>
  <sheetViews>
    <sheetView topLeftCell="A57" workbookViewId="0">
      <selection activeCell="G67" sqref="G67"/>
    </sheetView>
  </sheetViews>
  <sheetFormatPr baseColWidth="10" defaultColWidth="11.5" defaultRowHeight="15" x14ac:dyDescent="0.2"/>
  <cols>
    <col min="1" max="1" width="92.5" style="4" bestFit="1" customWidth="1"/>
    <col min="2" max="2" width="11.5" style="4" bestFit="1" customWidth="1"/>
    <col min="3" max="3" width="11" style="4" bestFit="1" customWidth="1"/>
    <col min="4" max="4" width="5.6640625" style="4" bestFit="1" customWidth="1"/>
    <col min="5" max="5" width="8.1640625" style="4" bestFit="1" customWidth="1"/>
  </cols>
  <sheetData>
    <row r="1" spans="1:7" ht="20.25" customHeight="1" x14ac:dyDescent="0.2">
      <c r="A1" s="6" t="s">
        <v>158</v>
      </c>
      <c r="B1"/>
      <c r="C1"/>
      <c r="D1"/>
      <c r="E1"/>
    </row>
    <row r="2" spans="1:7" x14ac:dyDescent="0.2">
      <c r="A2"/>
      <c r="B2"/>
      <c r="C2"/>
      <c r="D2"/>
      <c r="E2"/>
      <c r="G2" s="4"/>
    </row>
    <row r="3" spans="1:7" ht="16" x14ac:dyDescent="0.2">
      <c r="A3" s="127" t="s">
        <v>155</v>
      </c>
      <c r="B3" s="9" t="s">
        <v>156</v>
      </c>
      <c r="C3" s="9" t="s">
        <v>157</v>
      </c>
      <c r="D3" s="9" t="s">
        <v>97</v>
      </c>
      <c r="E3" s="9" t="s">
        <v>142</v>
      </c>
    </row>
    <row r="4" spans="1:7" ht="16" x14ac:dyDescent="0.2">
      <c r="A4" s="10" t="s">
        <v>51</v>
      </c>
      <c r="B4" s="10" t="s">
        <v>71</v>
      </c>
      <c r="C4" s="11" t="s">
        <v>5</v>
      </c>
      <c r="D4" s="10">
        <v>5</v>
      </c>
      <c r="E4" s="10">
        <f>IFERROR(IFERROR(SUMIFS('Base de données'!$G:$G, 'Base de données'!A:A, BD_etu_notes_S1_C2!C4, 'Base de données'!$C:$C, BD_etu_notes_S1_C2!A4), 0) / IFERROR(SUMIFS('Base de données'!$E:$E, 'Base de données'!A:A, BD_etu_notes_S1_C2!C4, 'Base de données'!$C:$C, BD_etu_notes_S1_C2!A4), 0),0)</f>
        <v>13.5</v>
      </c>
    </row>
    <row r="5" spans="1:7" ht="16" x14ac:dyDescent="0.2">
      <c r="A5" s="10" t="s">
        <v>51</v>
      </c>
      <c r="B5" s="10" t="s">
        <v>71</v>
      </c>
      <c r="C5" s="11" t="s">
        <v>9</v>
      </c>
      <c r="D5" s="10">
        <v>5</v>
      </c>
      <c r="E5" s="10">
        <f>IFERROR(IFERROR(SUMIFS('Base de données'!$G:$G, 'Base de données'!A:A, BD_etu_notes_S1_C2!C5, 'Base de données'!$C:$C, BD_etu_notes_S1_C2!A5), 0) / IFERROR(SUMIFS('Base de données'!$E:$E, 'Base de données'!A:A, BD_etu_notes_S1_C2!C5, 'Base de données'!$C:$C, BD_etu_notes_S1_C2!A5), 0),0)</f>
        <v>15</v>
      </c>
    </row>
    <row r="6" spans="1:7" ht="16" x14ac:dyDescent="0.2">
      <c r="A6" s="10" t="s">
        <v>51</v>
      </c>
      <c r="B6" s="10" t="s">
        <v>71</v>
      </c>
      <c r="C6" s="11" t="s">
        <v>11</v>
      </c>
      <c r="D6" s="10">
        <v>5</v>
      </c>
      <c r="E6" s="10">
        <f>IFERROR(IFERROR(SUMIFS('Base de données'!$G:$G, 'Base de données'!A:A, BD_etu_notes_S1_C2!C6, 'Base de données'!$C:$C, BD_etu_notes_S1_C2!A6), 0) / IFERROR(SUMIFS('Base de données'!$E:$E, 'Base de données'!A:A, BD_etu_notes_S1_C2!C6, 'Base de données'!$C:$C, BD_etu_notes_S1_C2!A6), 0),0)</f>
        <v>12</v>
      </c>
    </row>
    <row r="7" spans="1:7" ht="16" x14ac:dyDescent="0.2">
      <c r="A7" s="10" t="s">
        <v>51</v>
      </c>
      <c r="B7" s="10" t="s">
        <v>71</v>
      </c>
      <c r="C7" s="11" t="s">
        <v>14</v>
      </c>
      <c r="D7" s="10">
        <v>5</v>
      </c>
      <c r="E7" s="10">
        <f>IFERROR(IFERROR(SUMIFS('Base de données'!$G:$G, 'Base de données'!A:A, BD_etu_notes_S1_C2!C7, 'Base de données'!$C:$C, BD_etu_notes_S1_C2!A7), 0) / IFERROR(SUMIFS('Base de données'!$E:$E, 'Base de données'!A:A, BD_etu_notes_S1_C2!C7, 'Base de données'!$C:$C, BD_etu_notes_S1_C2!A7), 0),0)</f>
        <v>14.5</v>
      </c>
    </row>
    <row r="8" spans="1:7" ht="16" x14ac:dyDescent="0.2">
      <c r="A8" s="10" t="s">
        <v>51</v>
      </c>
      <c r="B8" s="10" t="s">
        <v>71</v>
      </c>
      <c r="C8" s="11" t="s">
        <v>16</v>
      </c>
      <c r="D8" s="10">
        <v>5</v>
      </c>
      <c r="E8" s="10">
        <f>IFERROR(IFERROR(SUMIFS('Base de données'!$G:$G, 'Base de données'!A:A, BD_etu_notes_S1_C2!C8, 'Base de données'!$C:$C, BD_etu_notes_S1_C2!A8), 0) / IFERROR(SUMIFS('Base de données'!$E:$E, 'Base de données'!A:A, BD_etu_notes_S1_C2!C8, 'Base de données'!$C:$C, BD_etu_notes_S1_C2!A8), 0),0)</f>
        <v>12.5</v>
      </c>
    </row>
    <row r="9" spans="1:7" ht="16" x14ac:dyDescent="0.2">
      <c r="A9" s="10" t="s">
        <v>51</v>
      </c>
      <c r="B9" s="10" t="s">
        <v>71</v>
      </c>
      <c r="C9" s="11" t="s">
        <v>19</v>
      </c>
      <c r="D9" s="10">
        <v>5</v>
      </c>
      <c r="E9" s="10">
        <f>IFERROR(IFERROR(SUMIFS('Base de données'!$G:$G, 'Base de données'!A:A, BD_etu_notes_S1_C2!C9, 'Base de données'!$C:$C, BD_etu_notes_S1_C2!A9), 0) / IFERROR(SUMIFS('Base de données'!$E:$E, 'Base de données'!A:A, BD_etu_notes_S1_C2!C9, 'Base de données'!$C:$C, BD_etu_notes_S1_C2!A9), 0),0)</f>
        <v>11.5</v>
      </c>
    </row>
    <row r="10" spans="1:7" ht="16" x14ac:dyDescent="0.2">
      <c r="A10" s="10" t="s">
        <v>51</v>
      </c>
      <c r="B10" s="10" t="s">
        <v>71</v>
      </c>
      <c r="C10" s="11" t="s">
        <v>21</v>
      </c>
      <c r="D10" s="10">
        <v>5</v>
      </c>
      <c r="E10" s="10">
        <f>IFERROR(IFERROR(SUMIFS('Base de données'!$G:$G, 'Base de données'!A:A, BD_etu_notes_S1_C2!C10, 'Base de données'!$C:$C, BD_etu_notes_S1_C2!A10), 0) / IFERROR(SUMIFS('Base de données'!$E:$E, 'Base de données'!A:A, BD_etu_notes_S1_C2!C10, 'Base de données'!$C:$C, BD_etu_notes_S1_C2!A10), 0),0)</f>
        <v>16</v>
      </c>
    </row>
    <row r="11" spans="1:7" ht="16" x14ac:dyDescent="0.2">
      <c r="A11" s="10" t="s">
        <v>51</v>
      </c>
      <c r="B11" s="10" t="s">
        <v>71</v>
      </c>
      <c r="C11" s="11" t="s">
        <v>24</v>
      </c>
      <c r="D11" s="10">
        <v>5</v>
      </c>
      <c r="E11" s="10">
        <f>IFERROR(IFERROR(SUMIFS('Base de données'!$G:$G, 'Base de données'!A:A, BD_etu_notes_S1_C2!C11, 'Base de données'!$C:$C, BD_etu_notes_S1_C2!A11), 0) / IFERROR(SUMIFS('Base de données'!$E:$E, 'Base de données'!A:A, BD_etu_notes_S1_C2!C11, 'Base de données'!$C:$C, BD_etu_notes_S1_C2!A11), 0),0)</f>
        <v>14</v>
      </c>
    </row>
    <row r="12" spans="1:7" ht="16" x14ac:dyDescent="0.2">
      <c r="A12" s="10" t="s">
        <v>51</v>
      </c>
      <c r="B12" s="10" t="s">
        <v>71</v>
      </c>
      <c r="C12" s="11" t="s">
        <v>26</v>
      </c>
      <c r="D12" s="10">
        <v>5</v>
      </c>
      <c r="E12" s="10">
        <f>IFERROR(IFERROR(SUMIFS('Base de données'!$G:$G, 'Base de données'!A:A, BD_etu_notes_S1_C2!C12, 'Base de données'!$C:$C, BD_etu_notes_S1_C2!A12), 0) / IFERROR(SUMIFS('Base de données'!$E:$E, 'Base de données'!A:A, BD_etu_notes_S1_C2!C12, 'Base de données'!$C:$C, BD_etu_notes_S1_C2!A12), 0),0)</f>
        <v>10.5</v>
      </c>
    </row>
    <row r="13" spans="1:7" ht="16" x14ac:dyDescent="0.2">
      <c r="A13" s="10" t="s">
        <v>51</v>
      </c>
      <c r="B13" s="10" t="s">
        <v>71</v>
      </c>
      <c r="C13" s="11" t="s">
        <v>29</v>
      </c>
      <c r="D13" s="10">
        <v>5</v>
      </c>
      <c r="E13" s="10">
        <f>IFERROR(IFERROR(SUMIFS('Base de données'!$G:$G, 'Base de données'!A:A, BD_etu_notes_S1_C2!C13, 'Base de données'!$C:$C, BD_etu_notes_S1_C2!A13), 0) / IFERROR(SUMIFS('Base de données'!$E:$E, 'Base de données'!A:A, BD_etu_notes_S1_C2!C13, 'Base de données'!$C:$C, BD_etu_notes_S1_C2!A13), 0),0)</f>
        <v>14</v>
      </c>
    </row>
    <row r="14" spans="1:7" ht="16" x14ac:dyDescent="0.2">
      <c r="A14" s="10" t="str">
        <f>_xlfn.XLOOKUP(B14,'Semestre 1'!$D$3:$D$20,'Semestre 1'!$B$3:$B$20,"introuvable")</f>
        <v>Statistique descriptive 1</v>
      </c>
      <c r="B14" s="10" t="s">
        <v>77</v>
      </c>
      <c r="C14" s="11" t="s">
        <v>5</v>
      </c>
      <c r="D14" s="10">
        <f>_xlfn.XLOOKUP(B14,'Semestre 1'!$D$3:$D$20,'Semestre 1'!$C$3:$C$20,"introuvable")</f>
        <v>20</v>
      </c>
      <c r="E14" s="10">
        <f>IFERROR(IFERROR(SUMIFS('Base de données'!$G:$G, 'Base de données'!A:A, BD_etu_notes_S1_C2!C14, 'Base de données'!$C:$C, BD_etu_notes_S1_C2!A14), 0) / IFERROR(SUMIFS('Base de données'!$E:$E, 'Base de données'!A:A, BD_etu_notes_S1_C2!C14, 'Base de données'!$C:$C, BD_etu_notes_S1_C2!A14), 0),0)</f>
        <v>0</v>
      </c>
    </row>
    <row r="15" spans="1:7" ht="16" x14ac:dyDescent="0.2">
      <c r="A15" s="10" t="str">
        <f>_xlfn.XLOOKUP(B15,'Semestre 1'!$D$3:$D$20,'Semestre 1'!$B$3:$B$20,"introuvable")</f>
        <v>Statistique descriptive 1</v>
      </c>
      <c r="B15" s="10" t="s">
        <v>77</v>
      </c>
      <c r="C15" s="11" t="s">
        <v>9</v>
      </c>
      <c r="D15" s="10">
        <f>_xlfn.XLOOKUP(B15,'Semestre 1'!$D$3:$D$20,'Semestre 1'!$C$3:$C$20,"introuvable")</f>
        <v>20</v>
      </c>
      <c r="E15" s="10">
        <f>IFERROR(IFERROR(SUMIFS('Base de données'!$G:$G, 'Base de données'!A:A, BD_etu_notes_S1_C2!C15, 'Base de données'!$C:$C, BD_etu_notes_S1_C2!A15), 0) / IFERROR(SUMIFS('Base de données'!$E:$E, 'Base de données'!A:A, BD_etu_notes_S1_C2!C15, 'Base de données'!$C:$C, BD_etu_notes_S1_C2!A15), 0),0)</f>
        <v>0</v>
      </c>
    </row>
    <row r="16" spans="1:7" ht="16" x14ac:dyDescent="0.2">
      <c r="A16" s="10" t="str">
        <f>_xlfn.XLOOKUP(B16,'Semestre 1'!$D$3:$D$20,'Semestre 1'!$B$3:$B$20,"introuvable")</f>
        <v>Statistique descriptive 1</v>
      </c>
      <c r="B16" s="10" t="s">
        <v>77</v>
      </c>
      <c r="C16" s="11" t="s">
        <v>11</v>
      </c>
      <c r="D16" s="10">
        <f>_xlfn.XLOOKUP(B16,'Semestre 1'!$D$3:$D$20,'Semestre 1'!$C$3:$C$20,"introuvable")</f>
        <v>20</v>
      </c>
      <c r="E16" s="10">
        <f>IFERROR(IFERROR(SUMIFS('Base de données'!$G:$G, 'Base de données'!A:A, BD_etu_notes_S1_C2!C16, 'Base de données'!$C:$C, BD_etu_notes_S1_C2!A16), 0) / IFERROR(SUMIFS('Base de données'!$E:$E, 'Base de données'!A:A, BD_etu_notes_S1_C2!C16, 'Base de données'!$C:$C, BD_etu_notes_S1_C2!A16), 0),0)</f>
        <v>0</v>
      </c>
    </row>
    <row r="17" spans="1:5" ht="16" x14ac:dyDescent="0.2">
      <c r="A17" s="10" t="str">
        <f>_xlfn.XLOOKUP(B17,'Semestre 1'!$D$3:$D$20,'Semestre 1'!$B$3:$B$20,"introuvable")</f>
        <v>Statistique descriptive 1</v>
      </c>
      <c r="B17" s="10" t="s">
        <v>77</v>
      </c>
      <c r="C17" s="11" t="s">
        <v>14</v>
      </c>
      <c r="D17" s="10">
        <f>_xlfn.XLOOKUP(B17,'Semestre 1'!$D$3:$D$20,'Semestre 1'!$C$3:$C$20,"introuvable")</f>
        <v>20</v>
      </c>
      <c r="E17" s="10">
        <f>IFERROR(IFERROR(SUMIFS('Base de données'!$G:$G, 'Base de données'!A:A, BD_etu_notes_S1_C2!C17, 'Base de données'!$C:$C, BD_etu_notes_S1_C2!A17), 0) / IFERROR(SUMIFS('Base de données'!$E:$E, 'Base de données'!A:A, BD_etu_notes_S1_C2!C17, 'Base de données'!$C:$C, BD_etu_notes_S1_C2!A17), 0),0)</f>
        <v>0</v>
      </c>
    </row>
    <row r="18" spans="1:5" ht="16" x14ac:dyDescent="0.2">
      <c r="A18" s="10" t="str">
        <f>_xlfn.XLOOKUP(B18,'Semestre 1'!$D$3:$D$20,'Semestre 1'!$B$3:$B$20,"introuvable")</f>
        <v>Statistique descriptive 1</v>
      </c>
      <c r="B18" s="10" t="s">
        <v>77</v>
      </c>
      <c r="C18" s="11" t="s">
        <v>16</v>
      </c>
      <c r="D18" s="10">
        <f>_xlfn.XLOOKUP(B18,'Semestre 1'!$D$3:$D$20,'Semestre 1'!$C$3:$C$20,"introuvable")</f>
        <v>20</v>
      </c>
      <c r="E18" s="10">
        <f>IFERROR(IFERROR(SUMIFS('Base de données'!$G:$G, 'Base de données'!A:A, BD_etu_notes_S1_C2!C18, 'Base de données'!$C:$C, BD_etu_notes_S1_C2!A18), 0) / IFERROR(SUMIFS('Base de données'!$E:$E, 'Base de données'!A:A, BD_etu_notes_S1_C2!C18, 'Base de données'!$C:$C, BD_etu_notes_S1_C2!A18), 0),0)</f>
        <v>0</v>
      </c>
    </row>
    <row r="19" spans="1:5" ht="16" x14ac:dyDescent="0.2">
      <c r="A19" s="10" t="str">
        <f>_xlfn.XLOOKUP(B19,'Semestre 1'!$D$3:$D$20,'Semestre 1'!$B$3:$B$20,"introuvable")</f>
        <v>Statistique descriptive 1</v>
      </c>
      <c r="B19" s="10" t="s">
        <v>77</v>
      </c>
      <c r="C19" s="11" t="s">
        <v>19</v>
      </c>
      <c r="D19" s="10">
        <f>_xlfn.XLOOKUP(B19,'Semestre 1'!$D$3:$D$20,'Semestre 1'!$C$3:$C$20,"introuvable")</f>
        <v>20</v>
      </c>
      <c r="E19" s="10">
        <f>IFERROR(IFERROR(SUMIFS('Base de données'!$G:$G, 'Base de données'!A:A, BD_etu_notes_S1_C2!C19, 'Base de données'!$C:$C, BD_etu_notes_S1_C2!A19), 0) / IFERROR(SUMIFS('Base de données'!$E:$E, 'Base de données'!A:A, BD_etu_notes_S1_C2!C19, 'Base de données'!$C:$C, BD_etu_notes_S1_C2!A19), 0),0)</f>
        <v>0</v>
      </c>
    </row>
    <row r="20" spans="1:5" ht="16" x14ac:dyDescent="0.2">
      <c r="A20" s="10" t="str">
        <f>_xlfn.XLOOKUP(B20,'Semestre 1'!$D$3:$D$20,'Semestre 1'!$B$3:$B$20,"introuvable")</f>
        <v>Statistique descriptive 1</v>
      </c>
      <c r="B20" s="10" t="s">
        <v>77</v>
      </c>
      <c r="C20" s="11" t="s">
        <v>21</v>
      </c>
      <c r="D20" s="10">
        <f>_xlfn.XLOOKUP(B20,'Semestre 1'!$D$3:$D$20,'Semestre 1'!$C$3:$C$20,"introuvable")</f>
        <v>20</v>
      </c>
      <c r="E20" s="10">
        <f>IFERROR(IFERROR(SUMIFS('Base de données'!$G:$G, 'Base de données'!A:A, BD_etu_notes_S1_C2!C20, 'Base de données'!$C:$C, BD_etu_notes_S1_C2!A20), 0) / IFERROR(SUMIFS('Base de données'!$E:$E, 'Base de données'!A:A, BD_etu_notes_S1_C2!C20, 'Base de données'!$C:$C, BD_etu_notes_S1_C2!A20), 0),0)</f>
        <v>0</v>
      </c>
    </row>
    <row r="21" spans="1:5" ht="16" x14ac:dyDescent="0.2">
      <c r="A21" s="10" t="str">
        <f>_xlfn.XLOOKUP(B21,'Semestre 1'!$D$3:$D$20,'Semestre 1'!$B$3:$B$20,"introuvable")</f>
        <v>Statistique descriptive 1</v>
      </c>
      <c r="B21" s="10" t="s">
        <v>77</v>
      </c>
      <c r="C21" s="11" t="s">
        <v>24</v>
      </c>
      <c r="D21" s="10">
        <f>_xlfn.XLOOKUP(B21,'Semestre 1'!$D$3:$D$20,'Semestre 1'!$C$3:$C$20,"introuvable")</f>
        <v>20</v>
      </c>
      <c r="E21" s="10">
        <f>IFERROR(IFERROR(SUMIFS('Base de données'!$G:$G, 'Base de données'!A:A, BD_etu_notes_S1_C2!C21, 'Base de données'!$C:$C, BD_etu_notes_S1_C2!A21), 0) / IFERROR(SUMIFS('Base de données'!$E:$E, 'Base de données'!A:A, BD_etu_notes_S1_C2!C21, 'Base de données'!$C:$C, BD_etu_notes_S1_C2!A21), 0),0)</f>
        <v>0</v>
      </c>
    </row>
    <row r="22" spans="1:5" ht="16" x14ac:dyDescent="0.2">
      <c r="A22" s="10" t="str">
        <f>_xlfn.XLOOKUP(B22,'Semestre 1'!$D$3:$D$20,'Semestre 1'!$B$3:$B$20,"introuvable")</f>
        <v>Statistique descriptive 1</v>
      </c>
      <c r="B22" s="10" t="s">
        <v>77</v>
      </c>
      <c r="C22" s="11" t="s">
        <v>26</v>
      </c>
      <c r="D22" s="10">
        <f>_xlfn.XLOOKUP(B22,'Semestre 1'!$D$3:$D$20,'Semestre 1'!$C$3:$C$20,"introuvable")</f>
        <v>20</v>
      </c>
      <c r="E22" s="10">
        <f>IFERROR(IFERROR(SUMIFS('Base de données'!$G:$G, 'Base de données'!A:A, BD_etu_notes_S1_C2!C22, 'Base de données'!$C:$C, BD_etu_notes_S1_C2!A22), 0) / IFERROR(SUMIFS('Base de données'!$E:$E, 'Base de données'!A:A, BD_etu_notes_S1_C2!C22, 'Base de données'!$C:$C, BD_etu_notes_S1_C2!A22), 0),0)</f>
        <v>0</v>
      </c>
    </row>
    <row r="23" spans="1:5" ht="16" x14ac:dyDescent="0.2">
      <c r="A23" s="10" t="str">
        <f>_xlfn.XLOOKUP(B23,'Semestre 1'!$D$3:$D$20,'Semestre 1'!$B$3:$B$20,"introuvable")</f>
        <v>Statistique descriptive 1</v>
      </c>
      <c r="B23" s="10" t="s">
        <v>77</v>
      </c>
      <c r="C23" s="11" t="s">
        <v>29</v>
      </c>
      <c r="D23" s="10">
        <f>_xlfn.XLOOKUP(B23,'Semestre 1'!$D$3:$D$20,'Semestre 1'!$C$3:$C$20,"introuvable")</f>
        <v>20</v>
      </c>
      <c r="E23" s="10">
        <f>IFERROR(IFERROR(SUMIFS('Base de données'!$G:$G, 'Base de données'!A:A, BD_etu_notes_S1_C2!C23, 'Base de données'!$C:$C, BD_etu_notes_S1_C2!A23), 0) / IFERROR(SUMIFS('Base de données'!$E:$E, 'Base de données'!A:A, BD_etu_notes_S1_C2!C23, 'Base de données'!$C:$C, BD_etu_notes_S1_C2!A23), 0),0)</f>
        <v>0</v>
      </c>
    </row>
    <row r="24" spans="1:5" ht="16" x14ac:dyDescent="0.2">
      <c r="A24" s="10" t="str">
        <f>_xlfn.XLOOKUP(B24,'Semestre 1'!$D$3:$D$20,'Semestre 1'!$B$3:$B$20,"introuvable")</f>
        <v>Probabilités 1</v>
      </c>
      <c r="B24" s="10" t="s">
        <v>79</v>
      </c>
      <c r="C24" s="11" t="s">
        <v>5</v>
      </c>
      <c r="D24" s="10">
        <f>_xlfn.XLOOKUP(B24,'Semestre 1'!$D$3:$D$20,'Semestre 1'!$C$3:$C$20,"introuvable")</f>
        <v>15</v>
      </c>
      <c r="E24" s="10">
        <f>IFERROR(IFERROR(SUMIFS('Base de données'!$G:$G, 'Base de données'!A:A, BD_etu_notes_S1_C2!C24, 'Base de données'!$C:$C, BD_etu_notes_S1_C2!A24), 0) / IFERROR(SUMIFS('Base de données'!$E:$E, 'Base de données'!A:A, BD_etu_notes_S1_C2!C24, 'Base de données'!$C:$C, BD_etu_notes_S1_C2!A24), 0),0)</f>
        <v>0</v>
      </c>
    </row>
    <row r="25" spans="1:5" ht="16" x14ac:dyDescent="0.2">
      <c r="A25" s="10" t="str">
        <f>_xlfn.XLOOKUP(B25,'Semestre 1'!$D$3:$D$20,'Semestre 1'!$B$3:$B$20,"introuvable")</f>
        <v>Probabilités 1</v>
      </c>
      <c r="B25" s="10" t="s">
        <v>79</v>
      </c>
      <c r="C25" s="11" t="s">
        <v>9</v>
      </c>
      <c r="D25" s="10">
        <f>_xlfn.XLOOKUP(B25,'Semestre 1'!$D$3:$D$20,'Semestre 1'!$C$3:$C$20,"introuvable")</f>
        <v>15</v>
      </c>
      <c r="E25" s="10">
        <f>IFERROR(IFERROR(SUMIFS('Base de données'!$G:$G, 'Base de données'!A:A, BD_etu_notes_S1_C2!C25, 'Base de données'!$C:$C, BD_etu_notes_S1_C2!A25), 0) / IFERROR(SUMIFS('Base de données'!$E:$E, 'Base de données'!A:A, BD_etu_notes_S1_C2!C25, 'Base de données'!$C:$C, BD_etu_notes_S1_C2!A25), 0),0)</f>
        <v>0</v>
      </c>
    </row>
    <row r="26" spans="1:5" ht="16" x14ac:dyDescent="0.2">
      <c r="A26" s="10" t="str">
        <f>_xlfn.XLOOKUP(B26,'Semestre 1'!$D$3:$D$20,'Semestre 1'!$B$3:$B$20,"introuvable")</f>
        <v>Probabilités 1</v>
      </c>
      <c r="B26" s="10" t="s">
        <v>79</v>
      </c>
      <c r="C26" s="11" t="s">
        <v>11</v>
      </c>
      <c r="D26" s="10">
        <f>_xlfn.XLOOKUP(B26,'Semestre 1'!$D$3:$D$20,'Semestre 1'!$C$3:$C$20,"introuvable")</f>
        <v>15</v>
      </c>
      <c r="E26" s="10">
        <f>IFERROR(IFERROR(SUMIFS('Base de données'!$G:$G, 'Base de données'!A:A, BD_etu_notes_S1_C2!C26, 'Base de données'!$C:$C, BD_etu_notes_S1_C2!A26), 0) / IFERROR(SUMIFS('Base de données'!$E:$E, 'Base de données'!A:A, BD_etu_notes_S1_C2!C26, 'Base de données'!$C:$C, BD_etu_notes_S1_C2!A26), 0),0)</f>
        <v>0</v>
      </c>
    </row>
    <row r="27" spans="1:5" ht="16" x14ac:dyDescent="0.2">
      <c r="A27" s="10" t="str">
        <f>_xlfn.XLOOKUP(B27,'Semestre 1'!$D$3:$D$20,'Semestre 1'!$B$3:$B$20,"introuvable")</f>
        <v>Probabilités 1</v>
      </c>
      <c r="B27" s="10" t="s">
        <v>79</v>
      </c>
      <c r="C27" s="11" t="s">
        <v>14</v>
      </c>
      <c r="D27" s="10">
        <f>_xlfn.XLOOKUP(B27,'Semestre 1'!$D$3:$D$20,'Semestre 1'!$C$3:$C$20,"introuvable")</f>
        <v>15</v>
      </c>
      <c r="E27" s="10">
        <f>IFERROR(IFERROR(SUMIFS('Base de données'!$G:$G, 'Base de données'!A:A, BD_etu_notes_S1_C2!C27, 'Base de données'!$C:$C, BD_etu_notes_S1_C2!A27), 0) / IFERROR(SUMIFS('Base de données'!$E:$E, 'Base de données'!A:A, BD_etu_notes_S1_C2!C27, 'Base de données'!$C:$C, BD_etu_notes_S1_C2!A27), 0),0)</f>
        <v>0</v>
      </c>
    </row>
    <row r="28" spans="1:5" ht="16" x14ac:dyDescent="0.2">
      <c r="A28" s="10" t="str">
        <f>_xlfn.XLOOKUP(B28,'Semestre 1'!$D$3:$D$20,'Semestre 1'!$B$3:$B$20,"introuvable")</f>
        <v>Probabilités 1</v>
      </c>
      <c r="B28" s="10" t="s">
        <v>79</v>
      </c>
      <c r="C28" s="11" t="s">
        <v>16</v>
      </c>
      <c r="D28" s="10">
        <f>_xlfn.XLOOKUP(B28,'Semestre 1'!$D$3:$D$20,'Semestre 1'!$C$3:$C$20,"introuvable")</f>
        <v>15</v>
      </c>
      <c r="E28" s="10">
        <f>IFERROR(IFERROR(SUMIFS('Base de données'!$G:$G, 'Base de données'!A:A, BD_etu_notes_S1_C2!C28, 'Base de données'!$C:$C, BD_etu_notes_S1_C2!A28), 0) / IFERROR(SUMIFS('Base de données'!$E:$E, 'Base de données'!A:A, BD_etu_notes_S1_C2!C28, 'Base de données'!$C:$C, BD_etu_notes_S1_C2!A28), 0),0)</f>
        <v>0</v>
      </c>
    </row>
    <row r="29" spans="1:5" ht="16" x14ac:dyDescent="0.2">
      <c r="A29" s="10" t="str">
        <f>_xlfn.XLOOKUP(B29,'Semestre 1'!$D$3:$D$20,'Semestre 1'!$B$3:$B$20,"introuvable")</f>
        <v>Probabilités 1</v>
      </c>
      <c r="B29" s="10" t="s">
        <v>79</v>
      </c>
      <c r="C29" s="11" t="s">
        <v>19</v>
      </c>
      <c r="D29" s="10">
        <f>_xlfn.XLOOKUP(B29,'Semestre 1'!$D$3:$D$20,'Semestre 1'!$C$3:$C$20,"introuvable")</f>
        <v>15</v>
      </c>
      <c r="E29" s="10">
        <f>IFERROR(IFERROR(SUMIFS('Base de données'!$G:$G, 'Base de données'!A:A, BD_etu_notes_S1_C2!C29, 'Base de données'!$C:$C, BD_etu_notes_S1_C2!A29), 0) / IFERROR(SUMIFS('Base de données'!$E:$E, 'Base de données'!A:A, BD_etu_notes_S1_C2!C29, 'Base de données'!$C:$C, BD_etu_notes_S1_C2!A29), 0),0)</f>
        <v>0</v>
      </c>
    </row>
    <row r="30" spans="1:5" ht="16" x14ac:dyDescent="0.2">
      <c r="A30" s="10" t="str">
        <f>_xlfn.XLOOKUP(B30,'Semestre 1'!$D$3:$D$20,'Semestre 1'!$B$3:$B$20,"introuvable")</f>
        <v>Probabilités 1</v>
      </c>
      <c r="B30" s="10" t="s">
        <v>79</v>
      </c>
      <c r="C30" s="11" t="s">
        <v>21</v>
      </c>
      <c r="D30" s="10">
        <f>_xlfn.XLOOKUP(B30,'Semestre 1'!$D$3:$D$20,'Semestre 1'!$C$3:$C$20,"introuvable")</f>
        <v>15</v>
      </c>
      <c r="E30" s="10">
        <f>IFERROR(IFERROR(SUMIFS('Base de données'!$G:$G, 'Base de données'!A:A, BD_etu_notes_S1_C2!C30, 'Base de données'!$C:$C, BD_etu_notes_S1_C2!A30), 0) / IFERROR(SUMIFS('Base de données'!$E:$E, 'Base de données'!A:A, BD_etu_notes_S1_C2!C30, 'Base de données'!$C:$C, BD_etu_notes_S1_C2!A30), 0),0)</f>
        <v>0</v>
      </c>
    </row>
    <row r="31" spans="1:5" ht="16" x14ac:dyDescent="0.2">
      <c r="A31" s="10" t="str">
        <f>_xlfn.XLOOKUP(B31,'Semestre 1'!$D$3:$D$20,'Semestre 1'!$B$3:$B$20,"introuvable")</f>
        <v>Probabilités 1</v>
      </c>
      <c r="B31" s="10" t="s">
        <v>79</v>
      </c>
      <c r="C31" s="11" t="s">
        <v>24</v>
      </c>
      <c r="D31" s="10">
        <f>_xlfn.XLOOKUP(B31,'Semestre 1'!$D$3:$D$20,'Semestre 1'!$C$3:$C$20,"introuvable")</f>
        <v>15</v>
      </c>
      <c r="E31" s="10">
        <f>IFERROR(IFERROR(SUMIFS('Base de données'!$G:$G, 'Base de données'!A:A, BD_etu_notes_S1_C2!C31, 'Base de données'!$C:$C, BD_etu_notes_S1_C2!A31), 0) / IFERROR(SUMIFS('Base de données'!$E:$E, 'Base de données'!A:A, BD_etu_notes_S1_C2!C31, 'Base de données'!$C:$C, BD_etu_notes_S1_C2!A31), 0),0)</f>
        <v>0</v>
      </c>
    </row>
    <row r="32" spans="1:5" ht="16" x14ac:dyDescent="0.2">
      <c r="A32" s="10" t="str">
        <f>_xlfn.XLOOKUP(B32,'Semestre 1'!$D$3:$D$20,'Semestre 1'!$B$3:$B$20,"introuvable")</f>
        <v>Probabilités 1</v>
      </c>
      <c r="B32" s="10" t="s">
        <v>79</v>
      </c>
      <c r="C32" s="11" t="s">
        <v>26</v>
      </c>
      <c r="D32" s="10">
        <f>_xlfn.XLOOKUP(B32,'Semestre 1'!$D$3:$D$20,'Semestre 1'!$C$3:$C$20,"introuvable")</f>
        <v>15</v>
      </c>
      <c r="E32" s="10">
        <f>IFERROR(IFERROR(SUMIFS('Base de données'!$G:$G, 'Base de données'!A:A, BD_etu_notes_S1_C2!C32, 'Base de données'!$C:$C, BD_etu_notes_S1_C2!A32), 0) / IFERROR(SUMIFS('Base de données'!$E:$E, 'Base de données'!A:A, BD_etu_notes_S1_C2!C32, 'Base de données'!$C:$C, BD_etu_notes_S1_C2!A32), 0),0)</f>
        <v>0</v>
      </c>
    </row>
    <row r="33" spans="1:5" ht="16" x14ac:dyDescent="0.2">
      <c r="A33" s="10" t="str">
        <f>_xlfn.XLOOKUP(B33,'Semestre 1'!$D$3:$D$20,'Semestre 1'!$B$3:$B$20,"introuvable")</f>
        <v>Probabilités 1</v>
      </c>
      <c r="B33" s="10" t="s">
        <v>79</v>
      </c>
      <c r="C33" s="11" t="s">
        <v>29</v>
      </c>
      <c r="D33" s="10">
        <f>_xlfn.XLOOKUP(B33,'Semestre 1'!$D$3:$D$20,'Semestre 1'!$C$3:$C$20,"introuvable")</f>
        <v>15</v>
      </c>
      <c r="E33" s="10">
        <f>IFERROR(IFERROR(SUMIFS('Base de données'!$G:$G, 'Base de données'!A:A, BD_etu_notes_S1_C2!C33, 'Base de données'!$C:$C, BD_etu_notes_S1_C2!A33), 0) / IFERROR(SUMIFS('Base de données'!$E:$E, 'Base de données'!A:A, BD_etu_notes_S1_C2!C33, 'Base de données'!$C:$C, BD_etu_notes_S1_C2!A33), 0),0)</f>
        <v>0</v>
      </c>
    </row>
    <row r="34" spans="1:5" ht="16" x14ac:dyDescent="0.2">
      <c r="A34" s="10" t="str">
        <f>_xlfn.XLOOKUP(B34,'Semestre 1'!$D$3:$D$20,'Semestre 1'!$B$3:$B$20,"introuvable")</f>
        <v>Mathématiques - analyse</v>
      </c>
      <c r="B34" s="10" t="s">
        <v>81</v>
      </c>
      <c r="C34" s="11" t="s">
        <v>5</v>
      </c>
      <c r="D34" s="10">
        <f>_xlfn.XLOOKUP(B34,'Semestre 1'!$D$3:$D$20,'Semestre 1'!$C$3:$C$20,"introuvable")</f>
        <v>20</v>
      </c>
      <c r="E34" s="10">
        <f>IFERROR(IFERROR(SUMIFS('Base de données'!$G:$G, 'Base de données'!A:A, BD_etu_notes_S1_C2!C34, 'Base de données'!$C:$C, BD_etu_notes_S1_C2!A34), 0) / IFERROR(SUMIFS('Base de données'!$E:$E, 'Base de données'!A:A, BD_etu_notes_S1_C2!C34, 'Base de données'!$C:$C, BD_etu_notes_S1_C2!A34), 0),0)</f>
        <v>0</v>
      </c>
    </row>
    <row r="35" spans="1:5" ht="16" x14ac:dyDescent="0.2">
      <c r="A35" s="10" t="str">
        <f>_xlfn.XLOOKUP(B35,'Semestre 1'!$D$3:$D$20,'Semestre 1'!$B$3:$B$20,"introuvable")</f>
        <v>Mathématiques - analyse</v>
      </c>
      <c r="B35" s="10" t="s">
        <v>81</v>
      </c>
      <c r="C35" s="11" t="s">
        <v>9</v>
      </c>
      <c r="D35" s="10">
        <f>_xlfn.XLOOKUP(B35,'Semestre 1'!$D$3:$D$20,'Semestre 1'!$C$3:$C$20,"introuvable")</f>
        <v>20</v>
      </c>
      <c r="E35" s="10">
        <f>IFERROR(IFERROR(SUMIFS('Base de données'!$G:$G, 'Base de données'!A:A, BD_etu_notes_S1_C2!C35, 'Base de données'!$C:$C, BD_etu_notes_S1_C2!A35), 0) / IFERROR(SUMIFS('Base de données'!$E:$E, 'Base de données'!A:A, BD_etu_notes_S1_C2!C35, 'Base de données'!$C:$C, BD_etu_notes_S1_C2!A35), 0),0)</f>
        <v>0</v>
      </c>
    </row>
    <row r="36" spans="1:5" ht="16" x14ac:dyDescent="0.2">
      <c r="A36" s="10" t="str">
        <f>_xlfn.XLOOKUP(B36,'Semestre 1'!$D$3:$D$20,'Semestre 1'!$B$3:$B$20,"introuvable")</f>
        <v>Mathématiques - analyse</v>
      </c>
      <c r="B36" s="10" t="s">
        <v>81</v>
      </c>
      <c r="C36" s="11" t="s">
        <v>11</v>
      </c>
      <c r="D36" s="10">
        <f>_xlfn.XLOOKUP(B36,'Semestre 1'!$D$3:$D$20,'Semestre 1'!$C$3:$C$20,"introuvable")</f>
        <v>20</v>
      </c>
      <c r="E36" s="10">
        <f>IFERROR(IFERROR(SUMIFS('Base de données'!$G:$G, 'Base de données'!A:A, BD_etu_notes_S1_C2!C36, 'Base de données'!$C:$C, BD_etu_notes_S1_C2!A36), 0) / IFERROR(SUMIFS('Base de données'!$E:$E, 'Base de données'!A:A, BD_etu_notes_S1_C2!C36, 'Base de données'!$C:$C, BD_etu_notes_S1_C2!A36), 0),0)</f>
        <v>0</v>
      </c>
    </row>
    <row r="37" spans="1:5" ht="16" x14ac:dyDescent="0.2">
      <c r="A37" s="10" t="str">
        <f>_xlfn.XLOOKUP(B37,'Semestre 1'!$D$3:$D$20,'Semestre 1'!$B$3:$B$20,"introuvable")</f>
        <v>Mathématiques - analyse</v>
      </c>
      <c r="B37" s="10" t="s">
        <v>81</v>
      </c>
      <c r="C37" s="11" t="s">
        <v>14</v>
      </c>
      <c r="D37" s="10">
        <f>_xlfn.XLOOKUP(B37,'Semestre 1'!$D$3:$D$20,'Semestre 1'!$C$3:$C$20,"introuvable")</f>
        <v>20</v>
      </c>
      <c r="E37" s="10">
        <f>IFERROR(IFERROR(SUMIFS('Base de données'!$G:$G, 'Base de données'!A:A, BD_etu_notes_S1_C2!C37, 'Base de données'!$C:$C, BD_etu_notes_S1_C2!A37), 0) / IFERROR(SUMIFS('Base de données'!$E:$E, 'Base de données'!A:A, BD_etu_notes_S1_C2!C37, 'Base de données'!$C:$C, BD_etu_notes_S1_C2!A37), 0),0)</f>
        <v>0</v>
      </c>
    </row>
    <row r="38" spans="1:5" ht="16" x14ac:dyDescent="0.2">
      <c r="A38" s="10" t="str">
        <f>_xlfn.XLOOKUP(B38,'Semestre 1'!$D$3:$D$20,'Semestre 1'!$B$3:$B$20,"introuvable")</f>
        <v>Mathématiques - analyse</v>
      </c>
      <c r="B38" s="10" t="s">
        <v>81</v>
      </c>
      <c r="C38" s="11" t="s">
        <v>16</v>
      </c>
      <c r="D38" s="10">
        <f>_xlfn.XLOOKUP(B38,'Semestre 1'!$D$3:$D$20,'Semestre 1'!$C$3:$C$20,"introuvable")</f>
        <v>20</v>
      </c>
      <c r="E38" s="10">
        <f>IFERROR(IFERROR(SUMIFS('Base de données'!$G:$G, 'Base de données'!A:A, BD_etu_notes_S1_C2!C38, 'Base de données'!$C:$C, BD_etu_notes_S1_C2!A38), 0) / IFERROR(SUMIFS('Base de données'!$E:$E, 'Base de données'!A:A, BD_etu_notes_S1_C2!C38, 'Base de données'!$C:$C, BD_etu_notes_S1_C2!A38), 0),0)</f>
        <v>0</v>
      </c>
    </row>
    <row r="39" spans="1:5" ht="16" x14ac:dyDescent="0.2">
      <c r="A39" s="10" t="str">
        <f>_xlfn.XLOOKUP(B39,'Semestre 1'!$D$3:$D$20,'Semestre 1'!$B$3:$B$20,"introuvable")</f>
        <v>Mathématiques - analyse</v>
      </c>
      <c r="B39" s="10" t="s">
        <v>81</v>
      </c>
      <c r="C39" s="11" t="s">
        <v>19</v>
      </c>
      <c r="D39" s="10">
        <f>_xlfn.XLOOKUP(B39,'Semestre 1'!$D$3:$D$20,'Semestre 1'!$C$3:$C$20,"introuvable")</f>
        <v>20</v>
      </c>
      <c r="E39" s="10">
        <f>IFERROR(IFERROR(SUMIFS('Base de données'!$G:$G, 'Base de données'!A:A, BD_etu_notes_S1_C2!C39, 'Base de données'!$C:$C, BD_etu_notes_S1_C2!A39), 0) / IFERROR(SUMIFS('Base de données'!$E:$E, 'Base de données'!A:A, BD_etu_notes_S1_C2!C39, 'Base de données'!$C:$C, BD_etu_notes_S1_C2!A39), 0),0)</f>
        <v>0</v>
      </c>
    </row>
    <row r="40" spans="1:5" ht="16" x14ac:dyDescent="0.2">
      <c r="A40" s="10" t="str">
        <f>_xlfn.XLOOKUP(B40,'Semestre 1'!$D$3:$D$20,'Semestre 1'!$B$3:$B$20,"introuvable")</f>
        <v>Mathématiques - analyse</v>
      </c>
      <c r="B40" s="10" t="s">
        <v>81</v>
      </c>
      <c r="C40" s="11" t="s">
        <v>21</v>
      </c>
      <c r="D40" s="10">
        <f>_xlfn.XLOOKUP(B40,'Semestre 1'!$D$3:$D$20,'Semestre 1'!$C$3:$C$20,"introuvable")</f>
        <v>20</v>
      </c>
      <c r="E40" s="10">
        <f>IFERROR(IFERROR(SUMIFS('Base de données'!$G:$G, 'Base de données'!A:A, BD_etu_notes_S1_C2!C40, 'Base de données'!$C:$C, BD_etu_notes_S1_C2!A40), 0) / IFERROR(SUMIFS('Base de données'!$E:$E, 'Base de données'!A:A, BD_etu_notes_S1_C2!C40, 'Base de données'!$C:$C, BD_etu_notes_S1_C2!A40), 0),0)</f>
        <v>0</v>
      </c>
    </row>
    <row r="41" spans="1:5" ht="16" x14ac:dyDescent="0.2">
      <c r="A41" s="10" t="str">
        <f>_xlfn.XLOOKUP(B41,'Semestre 1'!$D$3:$D$20,'Semestre 1'!$B$3:$B$20,"introuvable")</f>
        <v>Mathématiques - analyse</v>
      </c>
      <c r="B41" s="10" t="s">
        <v>81</v>
      </c>
      <c r="C41" s="11" t="s">
        <v>24</v>
      </c>
      <c r="D41" s="10">
        <f>_xlfn.XLOOKUP(B41,'Semestre 1'!$D$3:$D$20,'Semestre 1'!$C$3:$C$20,"introuvable")</f>
        <v>20</v>
      </c>
      <c r="E41" s="10">
        <f>IFERROR(IFERROR(SUMIFS('Base de données'!$G:$G, 'Base de données'!A:A, BD_etu_notes_S1_C2!C41, 'Base de données'!$C:$C, BD_etu_notes_S1_C2!A41), 0) / IFERROR(SUMIFS('Base de données'!$E:$E, 'Base de données'!A:A, BD_etu_notes_S1_C2!C41, 'Base de données'!$C:$C, BD_etu_notes_S1_C2!A41), 0),0)</f>
        <v>0</v>
      </c>
    </row>
    <row r="42" spans="1:5" ht="16" x14ac:dyDescent="0.2">
      <c r="A42" s="10" t="str">
        <f>_xlfn.XLOOKUP(B42,'Semestre 1'!$D$3:$D$20,'Semestre 1'!$B$3:$B$20,"introuvable")</f>
        <v>Mathématiques - analyse</v>
      </c>
      <c r="B42" s="10" t="s">
        <v>81</v>
      </c>
      <c r="C42" s="11" t="s">
        <v>26</v>
      </c>
      <c r="D42" s="10">
        <f>_xlfn.XLOOKUP(B42,'Semestre 1'!$D$3:$D$20,'Semestre 1'!$C$3:$C$20,"introuvable")</f>
        <v>20</v>
      </c>
      <c r="E42" s="10">
        <f>IFERROR(IFERROR(SUMIFS('Base de données'!$G:$G, 'Base de données'!A:A, BD_etu_notes_S1_C2!C42, 'Base de données'!$C:$C, BD_etu_notes_S1_C2!A42), 0) / IFERROR(SUMIFS('Base de données'!$E:$E, 'Base de données'!A:A, BD_etu_notes_S1_C2!C42, 'Base de données'!$C:$C, BD_etu_notes_S1_C2!A42), 0),0)</f>
        <v>0</v>
      </c>
    </row>
    <row r="43" spans="1:5" ht="16" x14ac:dyDescent="0.2">
      <c r="A43" s="10" t="str">
        <f>_xlfn.XLOOKUP(B43,'Semestre 1'!$D$3:$D$20,'Semestre 1'!$B$3:$B$20,"introuvable")</f>
        <v>Mathématiques - analyse</v>
      </c>
      <c r="B43" s="10" t="s">
        <v>81</v>
      </c>
      <c r="C43" s="11" t="s">
        <v>29</v>
      </c>
      <c r="D43" s="10">
        <f>_xlfn.XLOOKUP(B43,'Semestre 1'!$D$3:$D$20,'Semestre 1'!$C$3:$C$20,"introuvable")</f>
        <v>20</v>
      </c>
      <c r="E43" s="10">
        <f>IFERROR(IFERROR(SUMIFS('Base de données'!$G:$G, 'Base de données'!A:A, BD_etu_notes_S1_C2!C43, 'Base de données'!$C:$C, BD_etu_notes_S1_C2!A43), 0) / IFERROR(SUMIFS('Base de données'!$E:$E, 'Base de données'!A:A, BD_etu_notes_S1_C2!C43, 'Base de données'!$C:$C, BD_etu_notes_S1_C2!A43), 0),0)</f>
        <v>0</v>
      </c>
    </row>
    <row r="44" spans="1:5" ht="16" x14ac:dyDescent="0.2">
      <c r="A44" s="10" t="str">
        <f>_xlfn.XLOOKUP(B44,'Semestre 1'!$D$3:$D$20,'Semestre 1'!$B$3:$B$20,"introuvable")</f>
        <v>SAÉ - Préparation et synthèse d'un tableau de données en vue d'une analyse exploratoire simple</v>
      </c>
      <c r="B44" s="10" t="s">
        <v>83</v>
      </c>
      <c r="C44" s="11" t="s">
        <v>5</v>
      </c>
      <c r="D44" s="10">
        <f>_xlfn.XLOOKUP(B44,'Semestre 1'!$D$3:$D$20,'Semestre 1'!$C$3:$C$20,"introuvable")</f>
        <v>40</v>
      </c>
      <c r="E44" s="10">
        <f>IFERROR(IFERROR(SUMIFS('Base de données'!$G:$G, 'Base de données'!A:A, BD_etu_notes_S1_C2!C44, 'Base de données'!$C:$C, BD_etu_notes_S1_C2!A44), 0) / IFERROR(SUMIFS('Base de données'!$E:$E, 'Base de données'!A:A, BD_etu_notes_S1_C2!C44, 'Base de données'!$C:$C, BD_etu_notes_S1_C2!A44), 0),0)</f>
        <v>0</v>
      </c>
    </row>
    <row r="45" spans="1:5" ht="16" x14ac:dyDescent="0.2">
      <c r="A45" s="10" t="str">
        <f>_xlfn.XLOOKUP(B45,'Semestre 1'!$D$3:$D$20,'Semestre 1'!$B$3:$B$20,"introuvable")</f>
        <v>SAÉ - Préparation et synthèse d'un tableau de données en vue d'une analyse exploratoire simple</v>
      </c>
      <c r="B45" s="10" t="s">
        <v>83</v>
      </c>
      <c r="C45" s="11" t="s">
        <v>9</v>
      </c>
      <c r="D45" s="10">
        <f>_xlfn.XLOOKUP(B45,'Semestre 1'!$D$3:$D$20,'Semestre 1'!$C$3:$C$20,"introuvable")</f>
        <v>40</v>
      </c>
      <c r="E45" s="10">
        <f>IFERROR(IFERROR(SUMIFS('Base de données'!$G:$G, 'Base de données'!A:A, BD_etu_notes_S1_C2!C45, 'Base de données'!$C:$C, BD_etu_notes_S1_C2!A45), 0) / IFERROR(SUMIFS('Base de données'!$E:$E, 'Base de données'!A:A, BD_etu_notes_S1_C2!C45, 'Base de données'!$C:$C, BD_etu_notes_S1_C2!A45), 0),0)</f>
        <v>0</v>
      </c>
    </row>
    <row r="46" spans="1:5" ht="16" x14ac:dyDescent="0.2">
      <c r="A46" s="10" t="str">
        <f>_xlfn.XLOOKUP(B46,'Semestre 1'!$D$3:$D$20,'Semestre 1'!$B$3:$B$20,"introuvable")</f>
        <v>SAÉ - Préparation et synthèse d'un tableau de données en vue d'une analyse exploratoire simple</v>
      </c>
      <c r="B46" s="10" t="s">
        <v>83</v>
      </c>
      <c r="C46" s="11" t="s">
        <v>11</v>
      </c>
      <c r="D46" s="10">
        <f>_xlfn.XLOOKUP(B46,'Semestre 1'!$D$3:$D$20,'Semestre 1'!$C$3:$C$20,"introuvable")</f>
        <v>40</v>
      </c>
      <c r="E46" s="10">
        <f>IFERROR(IFERROR(SUMIFS('Base de données'!$G:$G, 'Base de données'!A:A, BD_etu_notes_S1_C2!C46, 'Base de données'!$C:$C, BD_etu_notes_S1_C2!A46), 0) / IFERROR(SUMIFS('Base de données'!$E:$E, 'Base de données'!A:A, BD_etu_notes_S1_C2!C46, 'Base de données'!$C:$C, BD_etu_notes_S1_C2!A46), 0),0)</f>
        <v>0</v>
      </c>
    </row>
    <row r="47" spans="1:5" ht="16" x14ac:dyDescent="0.2">
      <c r="A47" s="10" t="str">
        <f>_xlfn.XLOOKUP(B47,'Semestre 1'!$D$3:$D$20,'Semestre 1'!$B$3:$B$20,"introuvable")</f>
        <v>SAÉ - Préparation et synthèse d'un tableau de données en vue d'une analyse exploratoire simple</v>
      </c>
      <c r="B47" s="10" t="s">
        <v>83</v>
      </c>
      <c r="C47" s="11" t="s">
        <v>14</v>
      </c>
      <c r="D47" s="10">
        <f>_xlfn.XLOOKUP(B47,'Semestre 1'!$D$3:$D$20,'Semestre 1'!$C$3:$C$20,"introuvable")</f>
        <v>40</v>
      </c>
      <c r="E47" s="10">
        <f>IFERROR(IFERROR(SUMIFS('Base de données'!$G:$G, 'Base de données'!A:A, BD_etu_notes_S1_C2!C47, 'Base de données'!$C:$C, BD_etu_notes_S1_C2!A47), 0) / IFERROR(SUMIFS('Base de données'!$E:$E, 'Base de données'!A:A, BD_etu_notes_S1_C2!C47, 'Base de données'!$C:$C, BD_etu_notes_S1_C2!A47), 0),0)</f>
        <v>0</v>
      </c>
    </row>
    <row r="48" spans="1:5" ht="16" x14ac:dyDescent="0.2">
      <c r="A48" s="10" t="str">
        <f>_xlfn.XLOOKUP(B48,'Semestre 1'!$D$3:$D$20,'Semestre 1'!$B$3:$B$20,"introuvable")</f>
        <v>SAÉ - Préparation et synthèse d'un tableau de données en vue d'une analyse exploratoire simple</v>
      </c>
      <c r="B48" s="10" t="s">
        <v>83</v>
      </c>
      <c r="C48" s="11" t="s">
        <v>16</v>
      </c>
      <c r="D48" s="10">
        <f>_xlfn.XLOOKUP(B48,'Semestre 1'!$D$3:$D$20,'Semestre 1'!$C$3:$C$20,"introuvable")</f>
        <v>40</v>
      </c>
      <c r="E48" s="10">
        <f>IFERROR(IFERROR(SUMIFS('Base de données'!$G:$G, 'Base de données'!A:A, BD_etu_notes_S1_C2!C48, 'Base de données'!$C:$C, BD_etu_notes_S1_C2!A48), 0) / IFERROR(SUMIFS('Base de données'!$E:$E, 'Base de données'!A:A, BD_etu_notes_S1_C2!C48, 'Base de données'!$C:$C, BD_etu_notes_S1_C2!A48), 0),0)</f>
        <v>0</v>
      </c>
    </row>
    <row r="49" spans="1:5" ht="16" x14ac:dyDescent="0.2">
      <c r="A49" s="10" t="str">
        <f>_xlfn.XLOOKUP(B49,'Semestre 1'!$D$3:$D$20,'Semestre 1'!$B$3:$B$20,"introuvable")</f>
        <v>SAÉ - Préparation et synthèse d'un tableau de données en vue d'une analyse exploratoire simple</v>
      </c>
      <c r="B49" s="10" t="s">
        <v>83</v>
      </c>
      <c r="C49" s="11" t="s">
        <v>19</v>
      </c>
      <c r="D49" s="10">
        <f>_xlfn.XLOOKUP(B49,'Semestre 1'!$D$3:$D$20,'Semestre 1'!$C$3:$C$20,"introuvable")</f>
        <v>40</v>
      </c>
      <c r="E49" s="10">
        <f>IFERROR(IFERROR(SUMIFS('Base de données'!$G:$G, 'Base de données'!A:A, BD_etu_notes_S1_C2!C49, 'Base de données'!$C:$C, BD_etu_notes_S1_C2!A49), 0) / IFERROR(SUMIFS('Base de données'!$E:$E, 'Base de données'!A:A, BD_etu_notes_S1_C2!C49, 'Base de données'!$C:$C, BD_etu_notes_S1_C2!A49), 0),0)</f>
        <v>0</v>
      </c>
    </row>
    <row r="50" spans="1:5" ht="16" x14ac:dyDescent="0.2">
      <c r="A50" s="10" t="str">
        <f>_xlfn.XLOOKUP(B50,'Semestre 1'!$D$3:$D$20,'Semestre 1'!$B$3:$B$20,"introuvable")</f>
        <v>SAÉ - Préparation et synthèse d'un tableau de données en vue d'une analyse exploratoire simple</v>
      </c>
      <c r="B50" s="10" t="s">
        <v>83</v>
      </c>
      <c r="C50" s="11" t="s">
        <v>21</v>
      </c>
      <c r="D50" s="10">
        <f>_xlfn.XLOOKUP(B50,'Semestre 1'!$D$3:$D$20,'Semestre 1'!$C$3:$C$20,"introuvable")</f>
        <v>40</v>
      </c>
      <c r="E50" s="10">
        <f>IFERROR(IFERROR(SUMIFS('Base de données'!$G:$G, 'Base de données'!A:A, BD_etu_notes_S1_C2!C50, 'Base de données'!$C:$C, BD_etu_notes_S1_C2!A50), 0) / IFERROR(SUMIFS('Base de données'!$E:$E, 'Base de données'!A:A, BD_etu_notes_S1_C2!C50, 'Base de données'!$C:$C, BD_etu_notes_S1_C2!A50), 0),0)</f>
        <v>0</v>
      </c>
    </row>
    <row r="51" spans="1:5" ht="16" x14ac:dyDescent="0.2">
      <c r="A51" s="10" t="str">
        <f>_xlfn.XLOOKUP(B51,'Semestre 1'!$D$3:$D$20,'Semestre 1'!$B$3:$B$20,"introuvable")</f>
        <v>SAÉ - Préparation et synthèse d'un tableau de données en vue d'une analyse exploratoire simple</v>
      </c>
      <c r="B51" s="10" t="s">
        <v>83</v>
      </c>
      <c r="C51" s="11" t="s">
        <v>24</v>
      </c>
      <c r="D51" s="10">
        <f>_xlfn.XLOOKUP(B51,'Semestre 1'!$D$3:$D$20,'Semestre 1'!$C$3:$C$20,"introuvable")</f>
        <v>40</v>
      </c>
      <c r="E51" s="10">
        <f>IFERROR(IFERROR(SUMIFS('Base de données'!$G:$G, 'Base de données'!A:A, BD_etu_notes_S1_C2!C51, 'Base de données'!$C:$C, BD_etu_notes_S1_C2!A51), 0) / IFERROR(SUMIFS('Base de données'!$E:$E, 'Base de données'!A:A, BD_etu_notes_S1_C2!C51, 'Base de données'!$C:$C, BD_etu_notes_S1_C2!A51), 0),0)</f>
        <v>0</v>
      </c>
    </row>
    <row r="52" spans="1:5" ht="16" x14ac:dyDescent="0.2">
      <c r="A52" s="10" t="str">
        <f>_xlfn.XLOOKUP(B52,'Semestre 1'!$D$3:$D$20,'Semestre 1'!$B$3:$B$20,"introuvable")</f>
        <v>SAÉ - Préparation et synthèse d'un tableau de données en vue d'une analyse exploratoire simple</v>
      </c>
      <c r="B52" s="10" t="s">
        <v>83</v>
      </c>
      <c r="C52" s="11" t="s">
        <v>26</v>
      </c>
      <c r="D52" s="10">
        <f>_xlfn.XLOOKUP(B52,'Semestre 1'!$D$3:$D$20,'Semestre 1'!$C$3:$C$20,"introuvable")</f>
        <v>40</v>
      </c>
      <c r="E52" s="10">
        <f>IFERROR(IFERROR(SUMIFS('Base de données'!$G:$G, 'Base de données'!A:A, BD_etu_notes_S1_C2!C52, 'Base de données'!$C:$C, BD_etu_notes_S1_C2!A52), 0) / IFERROR(SUMIFS('Base de données'!$E:$E, 'Base de données'!A:A, BD_etu_notes_S1_C2!C52, 'Base de données'!$C:$C, BD_etu_notes_S1_C2!A52), 0),0)</f>
        <v>0</v>
      </c>
    </row>
    <row r="53" spans="1:5" ht="16" x14ac:dyDescent="0.2">
      <c r="A53" s="10" t="str">
        <f>_xlfn.XLOOKUP(B53,'Semestre 1'!$D$3:$D$20,'Semestre 1'!$B$3:$B$20,"introuvable")</f>
        <v>SAÉ - Préparation et synthèse d'un tableau de données en vue d'une analyse exploratoire simple</v>
      </c>
      <c r="B53" s="10" t="s">
        <v>83</v>
      </c>
      <c r="C53" s="11" t="s">
        <v>29</v>
      </c>
      <c r="D53" s="10">
        <f>_xlfn.XLOOKUP(B53,'Semestre 1'!$D$3:$D$20,'Semestre 1'!$C$3:$C$20,"introuvable")</f>
        <v>40</v>
      </c>
      <c r="E53" s="10">
        <f>IFERROR(IFERROR(SUMIFS('Base de données'!$G:$G, 'Base de données'!A:A, BD_etu_notes_S1_C2!C53, 'Base de données'!$C:$C, BD_etu_notes_S1_C2!A53), 0) / IFERROR(SUMIFS('Base de données'!$E:$E, 'Base de données'!A:A, BD_etu_notes_S1_C2!C53, 'Base de données'!$C:$C, BD_etu_notes_S1_C2!A53), 0),0)</f>
        <v>0</v>
      </c>
    </row>
    <row r="54" spans="1:5" ht="16" x14ac:dyDescent="0.2">
      <c r="A54" s="4" t="s">
        <v>76</v>
      </c>
      <c r="B54" s="4" t="s">
        <v>77</v>
      </c>
      <c r="C54" s="4" t="s">
        <v>34</v>
      </c>
      <c r="D54" s="4">
        <v>20</v>
      </c>
      <c r="E54" s="10">
        <f>IFERROR(IFERROR(SUMIFS('Base de données'!$G:$G, 'Base de données'!A:A, BD_etu_notes_S1_C2!C54, 'Base de données'!$C:$C, BD_etu_notes_S1_C2!A54), 0) / IFERROR(SUMIFS('Base de données'!$E:$E, 'Base de données'!A:A, BD_etu_notes_S1_C2!C54, 'Base de données'!$C:$C, BD_etu_notes_S1_C2!A54), 0),0)</f>
        <v>0</v>
      </c>
    </row>
    <row r="55" spans="1:5" ht="16" x14ac:dyDescent="0.2">
      <c r="A55" s="4" t="s">
        <v>78</v>
      </c>
      <c r="B55" s="4" t="s">
        <v>79</v>
      </c>
      <c r="C55" s="4" t="s">
        <v>34</v>
      </c>
      <c r="D55" s="4">
        <v>15</v>
      </c>
      <c r="E55" s="10">
        <f>IFERROR(IFERROR(SUMIFS('Base de données'!$G:$G, 'Base de données'!A:A, BD_etu_notes_S1_C2!C55, 'Base de données'!$C:$C, BD_etu_notes_S1_C2!A55), 0) / IFERROR(SUMIFS('Base de données'!$E:$E, 'Base de données'!A:A, BD_etu_notes_S1_C2!C55, 'Base de données'!$C:$C, BD_etu_notes_S1_C2!A55), 0),0)</f>
        <v>0</v>
      </c>
    </row>
    <row r="56" spans="1:5" ht="16" x14ac:dyDescent="0.2">
      <c r="A56" s="4" t="s">
        <v>80</v>
      </c>
      <c r="B56" s="4" t="s">
        <v>81</v>
      </c>
      <c r="C56" s="4" t="s">
        <v>34</v>
      </c>
      <c r="D56" s="4">
        <v>20</v>
      </c>
      <c r="E56" s="10">
        <f>IFERROR(IFERROR(SUMIFS('Base de données'!$G:$G, 'Base de données'!A:A, BD_etu_notes_S1_C2!C56, 'Base de données'!$C:$C, BD_etu_notes_S1_C2!A56), 0) / IFERROR(SUMIFS('Base de données'!$E:$E, 'Base de données'!A:A, BD_etu_notes_S1_C2!C56, 'Base de données'!$C:$C, BD_etu_notes_S1_C2!A56), 0),0)</f>
        <v>0</v>
      </c>
    </row>
    <row r="57" spans="1:5" ht="16" x14ac:dyDescent="0.2">
      <c r="A57" s="4" t="s">
        <v>51</v>
      </c>
      <c r="B57" s="4" t="s">
        <v>71</v>
      </c>
      <c r="C57" s="4" t="s">
        <v>34</v>
      </c>
      <c r="D57" s="4">
        <v>5</v>
      </c>
      <c r="E57" s="10">
        <f>IFERROR(IFERROR(SUMIFS('Base de données'!$G:$G, 'Base de données'!A:A, BD_etu_notes_S1_C2!C57, 'Base de données'!$C:$C, BD_etu_notes_S1_C2!A57), 0) / IFERROR(SUMIFS('Base de données'!$E:$E, 'Base de données'!A:A, BD_etu_notes_S1_C2!C57, 'Base de données'!$C:$C, BD_etu_notes_S1_C2!A57), 0),0)</f>
        <v>0</v>
      </c>
    </row>
    <row r="58" spans="1:5" ht="16" x14ac:dyDescent="0.2">
      <c r="A58" s="4" t="s">
        <v>82</v>
      </c>
      <c r="B58" s="4" t="s">
        <v>83</v>
      </c>
      <c r="C58" s="4" t="s">
        <v>34</v>
      </c>
      <c r="D58" s="4">
        <v>40</v>
      </c>
      <c r="E58" s="10">
        <f>IFERROR(IFERROR(SUMIFS('Base de données'!$G:$G, 'Base de données'!A:A, BD_etu_notes_S1_C2!C58, 'Base de données'!$C:$C, BD_etu_notes_S1_C2!A58), 0) / IFERROR(SUMIFS('Base de données'!$E:$E, 'Base de données'!A:A, BD_etu_notes_S1_C2!C58, 'Base de données'!$C:$C, BD_etu_notes_S1_C2!A58), 0),0)</f>
        <v>0</v>
      </c>
    </row>
    <row r="59" spans="1:5" ht="16" x14ac:dyDescent="0.2">
      <c r="E59" s="10"/>
    </row>
    <row r="60" spans="1:5" ht="16" x14ac:dyDescent="0.2">
      <c r="E60" s="10"/>
    </row>
    <row r="61" spans="1:5" ht="16" x14ac:dyDescent="0.2">
      <c r="E61" s="10"/>
    </row>
    <row r="62" spans="1:5" ht="16" x14ac:dyDescent="0.2">
      <c r="E62" s="10"/>
    </row>
    <row r="63" spans="1:5" ht="16" x14ac:dyDescent="0.2">
      <c r="E63" s="10"/>
    </row>
    <row r="64" spans="1:5" ht="16" x14ac:dyDescent="0.2">
      <c r="E64" s="10"/>
    </row>
    <row r="65" spans="5:5" ht="16" x14ac:dyDescent="0.2">
      <c r="E65" s="10"/>
    </row>
    <row r="66" spans="5:5" ht="16" x14ac:dyDescent="0.2">
      <c r="E66" s="10"/>
    </row>
    <row r="67" spans="5:5" ht="16" x14ac:dyDescent="0.2">
      <c r="E67" s="10"/>
    </row>
    <row r="68" spans="5:5" ht="16" x14ac:dyDescent="0.2">
      <c r="E68" s="10"/>
    </row>
    <row r="69" spans="5:5" ht="16" x14ac:dyDescent="0.2">
      <c r="E69" s="10"/>
    </row>
    <row r="70" spans="5:5" ht="16" x14ac:dyDescent="0.2">
      <c r="E70" s="10"/>
    </row>
    <row r="71" spans="5:5" ht="16" x14ac:dyDescent="0.2">
      <c r="E71" s="10"/>
    </row>
    <row r="72" spans="5:5" ht="16" x14ac:dyDescent="0.2">
      <c r="E72" s="10"/>
    </row>
    <row r="73" spans="5:5" ht="16" x14ac:dyDescent="0.2">
      <c r="E73" s="10"/>
    </row>
    <row r="74" spans="5:5" ht="16" x14ac:dyDescent="0.2">
      <c r="E74" s="10"/>
    </row>
    <row r="75" spans="5:5" ht="16" x14ac:dyDescent="0.2">
      <c r="E75" s="10"/>
    </row>
    <row r="76" spans="5:5" ht="16" x14ac:dyDescent="0.2">
      <c r="E76" s="10"/>
    </row>
    <row r="77" spans="5:5" ht="16" x14ac:dyDescent="0.2">
      <c r="E77" s="10"/>
    </row>
    <row r="78" spans="5:5" ht="16" x14ac:dyDescent="0.2">
      <c r="E78" s="10"/>
    </row>
    <row r="79" spans="5:5" ht="16" x14ac:dyDescent="0.2">
      <c r="E79" s="10"/>
    </row>
    <row r="80" spans="5:5" ht="16" x14ac:dyDescent="0.2">
      <c r="E80" s="10"/>
    </row>
    <row r="81" spans="5:5" ht="16" x14ac:dyDescent="0.2">
      <c r="E81" s="10"/>
    </row>
    <row r="82" spans="5:5" ht="16" x14ac:dyDescent="0.2">
      <c r="E82" s="10"/>
    </row>
    <row r="83" spans="5:5" ht="16" x14ac:dyDescent="0.2">
      <c r="E83" s="10"/>
    </row>
    <row r="84" spans="5:5" ht="16" x14ac:dyDescent="0.2">
      <c r="E84" s="10"/>
    </row>
    <row r="85" spans="5:5" ht="16" x14ac:dyDescent="0.2">
      <c r="E85" s="10"/>
    </row>
    <row r="86" spans="5:5" ht="16" x14ac:dyDescent="0.2">
      <c r="E86" s="10"/>
    </row>
    <row r="87" spans="5:5" ht="16" x14ac:dyDescent="0.2">
      <c r="E87" s="10"/>
    </row>
    <row r="88" spans="5:5" ht="16" x14ac:dyDescent="0.2">
      <c r="E88" s="10"/>
    </row>
    <row r="89" spans="5:5" ht="16" x14ac:dyDescent="0.2">
      <c r="E89" s="10"/>
    </row>
    <row r="90" spans="5:5" ht="16" x14ac:dyDescent="0.2">
      <c r="E90" s="10"/>
    </row>
    <row r="91" spans="5:5" ht="16" x14ac:dyDescent="0.2">
      <c r="E91" s="10"/>
    </row>
    <row r="92" spans="5:5" ht="16" x14ac:dyDescent="0.2">
      <c r="E92" s="10"/>
    </row>
    <row r="93" spans="5:5" ht="16" x14ac:dyDescent="0.2">
      <c r="E93" s="10"/>
    </row>
    <row r="94" spans="5:5" ht="16" x14ac:dyDescent="0.2">
      <c r="E94" s="10"/>
    </row>
    <row r="95" spans="5:5" ht="16" x14ac:dyDescent="0.2">
      <c r="E95" s="10"/>
    </row>
    <row r="96" spans="5:5" ht="16" x14ac:dyDescent="0.2">
      <c r="E96" s="10"/>
    </row>
    <row r="97" spans="5:5" ht="16" x14ac:dyDescent="0.2">
      <c r="E97" s="10"/>
    </row>
    <row r="98" spans="5:5" ht="16" x14ac:dyDescent="0.2">
      <c r="E98" s="10"/>
    </row>
    <row r="99" spans="5:5" ht="16" x14ac:dyDescent="0.2">
      <c r="E99" s="10"/>
    </row>
    <row r="100" spans="5:5" ht="16" x14ac:dyDescent="0.2">
      <c r="E100" s="10"/>
    </row>
    <row r="101" spans="5:5" ht="16" x14ac:dyDescent="0.2">
      <c r="E101" s="10"/>
    </row>
    <row r="102" spans="5:5" ht="16" x14ac:dyDescent="0.2">
      <c r="E102" s="10"/>
    </row>
    <row r="103" spans="5:5" ht="16" x14ac:dyDescent="0.2">
      <c r="E103" s="10"/>
    </row>
    <row r="104" spans="5:5" ht="16" x14ac:dyDescent="0.2">
      <c r="E104" s="10"/>
    </row>
    <row r="105" spans="5:5" ht="16" x14ac:dyDescent="0.2">
      <c r="E105" s="10"/>
    </row>
    <row r="106" spans="5:5" ht="16" x14ac:dyDescent="0.2">
      <c r="E106" s="10"/>
    </row>
    <row r="107" spans="5:5" ht="16" x14ac:dyDescent="0.2">
      <c r="E107" s="10"/>
    </row>
    <row r="108" spans="5:5" ht="16" x14ac:dyDescent="0.2">
      <c r="E108" s="10"/>
    </row>
    <row r="109" spans="5:5" ht="16" x14ac:dyDescent="0.2">
      <c r="E109" s="10"/>
    </row>
    <row r="110" spans="5:5" ht="16" x14ac:dyDescent="0.2">
      <c r="E110" s="10"/>
    </row>
    <row r="111" spans="5:5" ht="16" x14ac:dyDescent="0.2">
      <c r="E111" s="10"/>
    </row>
    <row r="112" spans="5:5" ht="16" x14ac:dyDescent="0.2">
      <c r="E112" s="10"/>
    </row>
    <row r="113" spans="5:5" ht="16" x14ac:dyDescent="0.2">
      <c r="E113" s="10"/>
    </row>
    <row r="114" spans="5:5" ht="16" x14ac:dyDescent="0.2">
      <c r="E114" s="10"/>
    </row>
    <row r="115" spans="5:5" ht="16" x14ac:dyDescent="0.2">
      <c r="E115" s="10"/>
    </row>
    <row r="116" spans="5:5" ht="16" x14ac:dyDescent="0.2">
      <c r="E116" s="10"/>
    </row>
    <row r="117" spans="5:5" ht="16" x14ac:dyDescent="0.2">
      <c r="E117" s="10"/>
    </row>
    <row r="118" spans="5:5" ht="16" x14ac:dyDescent="0.2">
      <c r="E118" s="10"/>
    </row>
    <row r="119" spans="5:5" ht="16" x14ac:dyDescent="0.2">
      <c r="E119" s="10"/>
    </row>
    <row r="120" spans="5:5" ht="16" x14ac:dyDescent="0.2">
      <c r="E120" s="10"/>
    </row>
    <row r="121" spans="5:5" ht="16" x14ac:dyDescent="0.2">
      <c r="E121" s="10"/>
    </row>
    <row r="122" spans="5:5" ht="16" x14ac:dyDescent="0.2">
      <c r="E122" s="10"/>
    </row>
    <row r="123" spans="5:5" ht="16" x14ac:dyDescent="0.2">
      <c r="E123" s="10"/>
    </row>
    <row r="124" spans="5:5" ht="16" x14ac:dyDescent="0.2">
      <c r="E124" s="10"/>
    </row>
    <row r="125" spans="5:5" ht="16" x14ac:dyDescent="0.2">
      <c r="E125" s="10"/>
    </row>
    <row r="126" spans="5:5" ht="16" x14ac:dyDescent="0.2">
      <c r="E126" s="10"/>
    </row>
    <row r="127" spans="5:5" ht="16" x14ac:dyDescent="0.2">
      <c r="E127" s="10"/>
    </row>
    <row r="128" spans="5:5" ht="16" x14ac:dyDescent="0.2">
      <c r="E128" s="10"/>
    </row>
    <row r="129" spans="5:5" ht="16" x14ac:dyDescent="0.2">
      <c r="E129" s="10"/>
    </row>
    <row r="130" spans="5:5" ht="16" x14ac:dyDescent="0.2">
      <c r="E130" s="10"/>
    </row>
    <row r="131" spans="5:5" ht="16" x14ac:dyDescent="0.2">
      <c r="E131" s="10"/>
    </row>
    <row r="132" spans="5:5" ht="16" x14ac:dyDescent="0.2">
      <c r="E132" s="10"/>
    </row>
    <row r="133" spans="5:5" ht="16" x14ac:dyDescent="0.2">
      <c r="E133" s="10"/>
    </row>
    <row r="134" spans="5:5" ht="16" x14ac:dyDescent="0.2">
      <c r="E134" s="10"/>
    </row>
    <row r="135" spans="5:5" ht="16" x14ac:dyDescent="0.2">
      <c r="E135" s="10"/>
    </row>
    <row r="136" spans="5:5" ht="16" x14ac:dyDescent="0.2">
      <c r="E136" s="10"/>
    </row>
    <row r="137" spans="5:5" ht="16" x14ac:dyDescent="0.2">
      <c r="E137" s="10"/>
    </row>
    <row r="138" spans="5:5" ht="16" x14ac:dyDescent="0.2">
      <c r="E138" s="10"/>
    </row>
    <row r="139" spans="5:5" ht="16" x14ac:dyDescent="0.2">
      <c r="E139" s="10"/>
    </row>
    <row r="140" spans="5:5" ht="16" x14ac:dyDescent="0.2">
      <c r="E140" s="10"/>
    </row>
    <row r="141" spans="5:5" ht="16" x14ac:dyDescent="0.2">
      <c r="E141" s="10"/>
    </row>
    <row r="142" spans="5:5" ht="16" x14ac:dyDescent="0.2">
      <c r="E142" s="10"/>
    </row>
    <row r="143" spans="5:5" ht="16" x14ac:dyDescent="0.2">
      <c r="E143" s="10"/>
    </row>
    <row r="144" spans="5:5" ht="16" x14ac:dyDescent="0.2">
      <c r="E144" s="10"/>
    </row>
    <row r="145" spans="5:5" ht="16" x14ac:dyDescent="0.2">
      <c r="E145" s="10"/>
    </row>
    <row r="146" spans="5:5" ht="16" x14ac:dyDescent="0.2">
      <c r="E146" s="10"/>
    </row>
    <row r="147" spans="5:5" ht="16" x14ac:dyDescent="0.2">
      <c r="E147" s="10"/>
    </row>
    <row r="148" spans="5:5" ht="16" x14ac:dyDescent="0.2">
      <c r="E148" s="10"/>
    </row>
    <row r="149" spans="5:5" ht="16" x14ac:dyDescent="0.2">
      <c r="E149" s="10"/>
    </row>
    <row r="150" spans="5:5" ht="16" x14ac:dyDescent="0.2">
      <c r="E150" s="10"/>
    </row>
    <row r="151" spans="5:5" ht="16" x14ac:dyDescent="0.2">
      <c r="E151" s="10"/>
    </row>
    <row r="152" spans="5:5" ht="16" x14ac:dyDescent="0.2">
      <c r="E152" s="10"/>
    </row>
    <row r="153" spans="5:5" ht="16" x14ac:dyDescent="0.2">
      <c r="E153" s="10"/>
    </row>
    <row r="154" spans="5:5" ht="16" x14ac:dyDescent="0.2">
      <c r="E154" s="10"/>
    </row>
    <row r="155" spans="5:5" ht="16" x14ac:dyDescent="0.2">
      <c r="E155" s="10"/>
    </row>
    <row r="156" spans="5:5" ht="16" x14ac:dyDescent="0.2">
      <c r="E156" s="10"/>
    </row>
    <row r="157" spans="5:5" ht="16" x14ac:dyDescent="0.2">
      <c r="E157" s="10"/>
    </row>
    <row r="158" spans="5:5" ht="16" x14ac:dyDescent="0.2">
      <c r="E158" s="10"/>
    </row>
    <row r="159" spans="5:5" ht="16" x14ac:dyDescent="0.2">
      <c r="E159" s="10"/>
    </row>
    <row r="160" spans="5:5" ht="16" x14ac:dyDescent="0.2">
      <c r="E160" s="10"/>
    </row>
    <row r="161" spans="5:5" ht="16" x14ac:dyDescent="0.2">
      <c r="E161" s="10"/>
    </row>
    <row r="162" spans="5:5" ht="16" x14ac:dyDescent="0.2">
      <c r="E162" s="10"/>
    </row>
    <row r="163" spans="5:5" ht="16" x14ac:dyDescent="0.2">
      <c r="E163" s="10"/>
    </row>
    <row r="164" spans="5:5" ht="16" x14ac:dyDescent="0.2">
      <c r="E164" s="10"/>
    </row>
    <row r="165" spans="5:5" ht="16" x14ac:dyDescent="0.2">
      <c r="E165" s="10"/>
    </row>
    <row r="166" spans="5:5" ht="16" x14ac:dyDescent="0.2">
      <c r="E166" s="10"/>
    </row>
    <row r="167" spans="5:5" ht="16" x14ac:dyDescent="0.2">
      <c r="E167" s="10"/>
    </row>
    <row r="168" spans="5:5" ht="16" x14ac:dyDescent="0.2">
      <c r="E168" s="10"/>
    </row>
    <row r="169" spans="5:5" ht="16" x14ac:dyDescent="0.2">
      <c r="E169" s="10"/>
    </row>
    <row r="170" spans="5:5" ht="16" x14ac:dyDescent="0.2">
      <c r="E170" s="10"/>
    </row>
    <row r="171" spans="5:5" ht="16" x14ac:dyDescent="0.2">
      <c r="E171" s="10"/>
    </row>
    <row r="172" spans="5:5" ht="16" x14ac:dyDescent="0.2">
      <c r="E172" s="10"/>
    </row>
    <row r="173" spans="5:5" ht="16" x14ac:dyDescent="0.2">
      <c r="E173" s="10"/>
    </row>
    <row r="174" spans="5:5" ht="16" x14ac:dyDescent="0.2">
      <c r="E174" s="10"/>
    </row>
    <row r="175" spans="5:5" ht="16" x14ac:dyDescent="0.2">
      <c r="E175" s="10"/>
    </row>
    <row r="176" spans="5:5" ht="16" x14ac:dyDescent="0.2">
      <c r="E176" s="10"/>
    </row>
    <row r="177" spans="5:5" ht="16" x14ac:dyDescent="0.2">
      <c r="E177" s="10"/>
    </row>
    <row r="178" spans="5:5" ht="16" x14ac:dyDescent="0.2">
      <c r="E178" s="10"/>
    </row>
    <row r="179" spans="5:5" ht="16" x14ac:dyDescent="0.2">
      <c r="E179" s="10"/>
    </row>
    <row r="180" spans="5:5" ht="16" x14ac:dyDescent="0.2">
      <c r="E180" s="10"/>
    </row>
    <row r="181" spans="5:5" ht="16" x14ac:dyDescent="0.2">
      <c r="E181" s="10"/>
    </row>
    <row r="182" spans="5:5" ht="16" x14ac:dyDescent="0.2">
      <c r="E182" s="10"/>
    </row>
    <row r="183" spans="5:5" ht="16" x14ac:dyDescent="0.2">
      <c r="E183" s="10"/>
    </row>
    <row r="184" spans="5:5" ht="16" x14ac:dyDescent="0.2">
      <c r="E184" s="10"/>
    </row>
    <row r="185" spans="5:5" ht="16" x14ac:dyDescent="0.2">
      <c r="E185" s="10"/>
    </row>
    <row r="186" spans="5:5" ht="16" x14ac:dyDescent="0.2">
      <c r="E186" s="10"/>
    </row>
    <row r="187" spans="5:5" ht="16" x14ac:dyDescent="0.2">
      <c r="E187" s="10"/>
    </row>
    <row r="188" spans="5:5" ht="16" x14ac:dyDescent="0.2">
      <c r="E188" s="10"/>
    </row>
    <row r="189" spans="5:5" ht="16" x14ac:dyDescent="0.2">
      <c r="E189" s="10"/>
    </row>
    <row r="190" spans="5:5" ht="16" x14ac:dyDescent="0.2">
      <c r="E190" s="10"/>
    </row>
    <row r="191" spans="5:5" ht="16" x14ac:dyDescent="0.2">
      <c r="E191" s="10"/>
    </row>
    <row r="192" spans="5:5" ht="16" x14ac:dyDescent="0.2">
      <c r="E192" s="10"/>
    </row>
    <row r="193" spans="5:5" ht="16" x14ac:dyDescent="0.2">
      <c r="E193" s="10"/>
    </row>
    <row r="194" spans="5:5" ht="16" x14ac:dyDescent="0.2">
      <c r="E194" s="10"/>
    </row>
    <row r="195" spans="5:5" ht="16" x14ac:dyDescent="0.2">
      <c r="E195" s="10"/>
    </row>
    <row r="196" spans="5:5" ht="16" x14ac:dyDescent="0.2">
      <c r="E196" s="10"/>
    </row>
    <row r="197" spans="5:5" ht="16" x14ac:dyDescent="0.2">
      <c r="E197" s="10"/>
    </row>
    <row r="198" spans="5:5" ht="16" x14ac:dyDescent="0.2">
      <c r="E198" s="10"/>
    </row>
    <row r="199" spans="5:5" ht="16" x14ac:dyDescent="0.2">
      <c r="E199" s="10"/>
    </row>
    <row r="200" spans="5:5" ht="16" x14ac:dyDescent="0.2">
      <c r="E200" s="10"/>
    </row>
    <row r="201" spans="5:5" ht="16" x14ac:dyDescent="0.2">
      <c r="E201" s="10"/>
    </row>
    <row r="202" spans="5:5" ht="16" x14ac:dyDescent="0.2">
      <c r="E202" s="10"/>
    </row>
    <row r="203" spans="5:5" ht="16" x14ac:dyDescent="0.2">
      <c r="E203" s="10"/>
    </row>
    <row r="204" spans="5:5" ht="16" x14ac:dyDescent="0.2">
      <c r="E204" s="10"/>
    </row>
    <row r="205" spans="5:5" ht="16" x14ac:dyDescent="0.2">
      <c r="E205" s="10"/>
    </row>
    <row r="206" spans="5:5" ht="16" x14ac:dyDescent="0.2">
      <c r="E206" s="10"/>
    </row>
    <row r="207" spans="5:5" ht="16" x14ac:dyDescent="0.2">
      <c r="E207" s="10"/>
    </row>
    <row r="208" spans="5:5" ht="16" x14ac:dyDescent="0.2">
      <c r="E208" s="10"/>
    </row>
    <row r="209" spans="5:5" ht="16" x14ac:dyDescent="0.2">
      <c r="E209" s="10"/>
    </row>
    <row r="210" spans="5:5" ht="16" x14ac:dyDescent="0.2">
      <c r="E210" s="10"/>
    </row>
    <row r="211" spans="5:5" ht="16" x14ac:dyDescent="0.2">
      <c r="E211" s="10"/>
    </row>
    <row r="212" spans="5:5" ht="16" x14ac:dyDescent="0.2">
      <c r="E212" s="10"/>
    </row>
    <row r="213" spans="5:5" ht="16" x14ac:dyDescent="0.2">
      <c r="E213" s="10"/>
    </row>
    <row r="214" spans="5:5" ht="16" x14ac:dyDescent="0.2">
      <c r="E214" s="10"/>
    </row>
    <row r="215" spans="5:5" ht="16" x14ac:dyDescent="0.2">
      <c r="E215" s="10"/>
    </row>
    <row r="216" spans="5:5" ht="16" x14ac:dyDescent="0.2">
      <c r="E216" s="10"/>
    </row>
    <row r="217" spans="5:5" ht="16" x14ac:dyDescent="0.2">
      <c r="E217" s="10"/>
    </row>
    <row r="218" spans="5:5" ht="16" x14ac:dyDescent="0.2">
      <c r="E218" s="10"/>
    </row>
    <row r="219" spans="5:5" ht="16" x14ac:dyDescent="0.2">
      <c r="E219" s="10"/>
    </row>
    <row r="220" spans="5:5" ht="16" x14ac:dyDescent="0.2">
      <c r="E220" s="10"/>
    </row>
    <row r="221" spans="5:5" ht="16" x14ac:dyDescent="0.2">
      <c r="E221" s="10"/>
    </row>
    <row r="222" spans="5:5" ht="16" x14ac:dyDescent="0.2">
      <c r="E222" s="10"/>
    </row>
    <row r="223" spans="5:5" ht="16" x14ac:dyDescent="0.2">
      <c r="E223" s="10"/>
    </row>
    <row r="224" spans="5:5" ht="16" x14ac:dyDescent="0.2">
      <c r="E224" s="10"/>
    </row>
    <row r="225" spans="5:5" ht="16" x14ac:dyDescent="0.2">
      <c r="E225" s="10"/>
    </row>
    <row r="226" spans="5:5" ht="16" x14ac:dyDescent="0.2">
      <c r="E226" s="10"/>
    </row>
    <row r="227" spans="5:5" ht="16" x14ac:dyDescent="0.2">
      <c r="E227" s="10"/>
    </row>
    <row r="228" spans="5:5" ht="16" x14ac:dyDescent="0.2">
      <c r="E228" s="10"/>
    </row>
    <row r="229" spans="5:5" ht="16" x14ac:dyDescent="0.2">
      <c r="E229" s="10"/>
    </row>
    <row r="230" spans="5:5" ht="16" x14ac:dyDescent="0.2">
      <c r="E230" s="10"/>
    </row>
    <row r="231" spans="5:5" ht="16" x14ac:dyDescent="0.2">
      <c r="E231" s="10"/>
    </row>
    <row r="232" spans="5:5" ht="16" x14ac:dyDescent="0.2">
      <c r="E232" s="10"/>
    </row>
    <row r="233" spans="5:5" ht="16" x14ac:dyDescent="0.2">
      <c r="E233" s="10"/>
    </row>
    <row r="234" spans="5:5" ht="16" x14ac:dyDescent="0.2">
      <c r="E234" s="10"/>
    </row>
    <row r="235" spans="5:5" ht="16" x14ac:dyDescent="0.2">
      <c r="E235" s="10"/>
    </row>
    <row r="236" spans="5:5" ht="16" x14ac:dyDescent="0.2">
      <c r="E236" s="10"/>
    </row>
    <row r="237" spans="5:5" ht="16" x14ac:dyDescent="0.2">
      <c r="E237" s="10"/>
    </row>
    <row r="238" spans="5:5" ht="16" x14ac:dyDescent="0.2">
      <c r="E238" s="10"/>
    </row>
    <row r="239" spans="5:5" ht="16" x14ac:dyDescent="0.2">
      <c r="E239" s="10"/>
    </row>
    <row r="240" spans="5:5" ht="16" x14ac:dyDescent="0.2">
      <c r="E240" s="10"/>
    </row>
    <row r="241" spans="5:5" ht="16" x14ac:dyDescent="0.2">
      <c r="E241" s="10"/>
    </row>
    <row r="242" spans="5:5" ht="16" x14ac:dyDescent="0.2">
      <c r="E242" s="10"/>
    </row>
    <row r="243" spans="5:5" ht="16" x14ac:dyDescent="0.2">
      <c r="E243" s="10"/>
    </row>
    <row r="244" spans="5:5" ht="16" x14ac:dyDescent="0.2">
      <c r="E244" s="10"/>
    </row>
    <row r="245" spans="5:5" ht="16" x14ac:dyDescent="0.2">
      <c r="E245" s="10"/>
    </row>
    <row r="246" spans="5:5" ht="16" x14ac:dyDescent="0.2">
      <c r="E246" s="10"/>
    </row>
    <row r="247" spans="5:5" ht="16" x14ac:dyDescent="0.2">
      <c r="E247" s="10"/>
    </row>
    <row r="248" spans="5:5" ht="16" x14ac:dyDescent="0.2">
      <c r="E248" s="10"/>
    </row>
    <row r="249" spans="5:5" ht="16" x14ac:dyDescent="0.2">
      <c r="E249" s="10"/>
    </row>
    <row r="250" spans="5:5" ht="16" x14ac:dyDescent="0.2">
      <c r="E250" s="10"/>
    </row>
    <row r="251" spans="5:5" ht="16" x14ac:dyDescent="0.2">
      <c r="E251" s="10"/>
    </row>
    <row r="252" spans="5:5" ht="16" x14ac:dyDescent="0.2">
      <c r="E252" s="10"/>
    </row>
    <row r="253" spans="5:5" ht="16" x14ac:dyDescent="0.2">
      <c r="E253" s="10"/>
    </row>
    <row r="254" spans="5:5" ht="16" x14ac:dyDescent="0.2">
      <c r="E254" s="10"/>
    </row>
    <row r="255" spans="5:5" ht="16" x14ac:dyDescent="0.2">
      <c r="E255" s="10"/>
    </row>
    <row r="256" spans="5:5" ht="16" x14ac:dyDescent="0.2">
      <c r="E256" s="10"/>
    </row>
    <row r="257" spans="5:5" ht="16" x14ac:dyDescent="0.2">
      <c r="E257" s="10"/>
    </row>
    <row r="258" spans="5:5" ht="16" x14ac:dyDescent="0.2">
      <c r="E258" s="10"/>
    </row>
    <row r="259" spans="5:5" ht="16" x14ac:dyDescent="0.2">
      <c r="E259" s="10"/>
    </row>
    <row r="260" spans="5:5" ht="16" x14ac:dyDescent="0.2">
      <c r="E260" s="10"/>
    </row>
    <row r="261" spans="5:5" ht="16" x14ac:dyDescent="0.2">
      <c r="E261" s="10"/>
    </row>
    <row r="262" spans="5:5" ht="16" x14ac:dyDescent="0.2">
      <c r="E262" s="10"/>
    </row>
    <row r="263" spans="5:5" ht="16" x14ac:dyDescent="0.2">
      <c r="E263" s="10"/>
    </row>
    <row r="264" spans="5:5" ht="16" x14ac:dyDescent="0.2">
      <c r="E264" s="10"/>
    </row>
    <row r="265" spans="5:5" ht="16" x14ac:dyDescent="0.2">
      <c r="E265" s="10"/>
    </row>
    <row r="266" spans="5:5" ht="16" x14ac:dyDescent="0.2">
      <c r="E266" s="10"/>
    </row>
    <row r="267" spans="5:5" ht="16" x14ac:dyDescent="0.2">
      <c r="E267" s="10"/>
    </row>
    <row r="268" spans="5:5" ht="16" x14ac:dyDescent="0.2">
      <c r="E268" s="10"/>
    </row>
    <row r="269" spans="5:5" ht="16" x14ac:dyDescent="0.2">
      <c r="E269" s="10"/>
    </row>
    <row r="270" spans="5:5" ht="16" x14ac:dyDescent="0.2">
      <c r="E270" s="10"/>
    </row>
    <row r="271" spans="5:5" ht="16" x14ac:dyDescent="0.2">
      <c r="E271" s="10"/>
    </row>
    <row r="272" spans="5:5" ht="16" x14ac:dyDescent="0.2">
      <c r="E272" s="10"/>
    </row>
    <row r="273" spans="5:5" ht="16" x14ac:dyDescent="0.2">
      <c r="E273" s="10"/>
    </row>
    <row r="274" spans="5:5" ht="16" x14ac:dyDescent="0.2">
      <c r="E274" s="10"/>
    </row>
    <row r="275" spans="5:5" ht="16" x14ac:dyDescent="0.2">
      <c r="E275" s="10"/>
    </row>
    <row r="276" spans="5:5" ht="16" x14ac:dyDescent="0.2">
      <c r="E276" s="10"/>
    </row>
    <row r="277" spans="5:5" ht="16" x14ac:dyDescent="0.2">
      <c r="E277" s="10"/>
    </row>
    <row r="278" spans="5:5" ht="16" x14ac:dyDescent="0.2">
      <c r="E278" s="10"/>
    </row>
    <row r="279" spans="5:5" ht="16" x14ac:dyDescent="0.2">
      <c r="E279" s="10"/>
    </row>
    <row r="280" spans="5:5" ht="16" x14ac:dyDescent="0.2">
      <c r="E280" s="10"/>
    </row>
    <row r="281" spans="5:5" ht="16" x14ac:dyDescent="0.2">
      <c r="E281" s="10"/>
    </row>
    <row r="282" spans="5:5" ht="16" x14ac:dyDescent="0.2">
      <c r="E282" s="10"/>
    </row>
    <row r="283" spans="5:5" ht="16" x14ac:dyDescent="0.2">
      <c r="E283" s="10"/>
    </row>
    <row r="284" spans="5:5" ht="16" x14ac:dyDescent="0.2">
      <c r="E284" s="10"/>
    </row>
    <row r="285" spans="5:5" ht="16" x14ac:dyDescent="0.2">
      <c r="E285" s="10"/>
    </row>
    <row r="286" spans="5:5" ht="16" x14ac:dyDescent="0.2">
      <c r="E286" s="10"/>
    </row>
    <row r="287" spans="5:5" ht="16" x14ac:dyDescent="0.2">
      <c r="E287" s="10"/>
    </row>
    <row r="288" spans="5:5" ht="16" x14ac:dyDescent="0.2">
      <c r="E288" s="10"/>
    </row>
    <row r="289" spans="5:5" ht="16" x14ac:dyDescent="0.2">
      <c r="E289" s="10"/>
    </row>
    <row r="290" spans="5:5" ht="16" x14ac:dyDescent="0.2">
      <c r="E290" s="10"/>
    </row>
    <row r="291" spans="5:5" ht="16" x14ac:dyDescent="0.2">
      <c r="E291" s="10"/>
    </row>
    <row r="292" spans="5:5" ht="16" x14ac:dyDescent="0.2">
      <c r="E292" s="10"/>
    </row>
    <row r="293" spans="5:5" ht="16" x14ac:dyDescent="0.2">
      <c r="E293" s="10"/>
    </row>
    <row r="294" spans="5:5" ht="16" x14ac:dyDescent="0.2">
      <c r="E294" s="10"/>
    </row>
    <row r="295" spans="5:5" ht="16" x14ac:dyDescent="0.2">
      <c r="E295" s="10"/>
    </row>
    <row r="296" spans="5:5" ht="16" x14ac:dyDescent="0.2">
      <c r="E296" s="10"/>
    </row>
    <row r="297" spans="5:5" ht="16" x14ac:dyDescent="0.2">
      <c r="E297" s="10"/>
    </row>
    <row r="298" spans="5:5" ht="16" x14ac:dyDescent="0.2">
      <c r="E298" s="10"/>
    </row>
    <row r="299" spans="5:5" ht="16" x14ac:dyDescent="0.2">
      <c r="E299" s="10"/>
    </row>
    <row r="300" spans="5:5" ht="16" x14ac:dyDescent="0.2">
      <c r="E300" s="10"/>
    </row>
    <row r="301" spans="5:5" ht="16" x14ac:dyDescent="0.2">
      <c r="E301" s="10"/>
    </row>
    <row r="302" spans="5:5" ht="16" x14ac:dyDescent="0.2">
      <c r="E302" s="10"/>
    </row>
    <row r="303" spans="5:5" ht="16" x14ac:dyDescent="0.2">
      <c r="E303" s="10"/>
    </row>
    <row r="304" spans="5:5" ht="16" x14ac:dyDescent="0.2">
      <c r="E304" s="10"/>
    </row>
    <row r="305" spans="5:5" ht="16" x14ac:dyDescent="0.2">
      <c r="E305" s="10"/>
    </row>
    <row r="306" spans="5:5" ht="16" x14ac:dyDescent="0.2">
      <c r="E306" s="10"/>
    </row>
    <row r="307" spans="5:5" ht="16" x14ac:dyDescent="0.2">
      <c r="E307" s="10"/>
    </row>
    <row r="308" spans="5:5" ht="16" x14ac:dyDescent="0.2">
      <c r="E308" s="10"/>
    </row>
    <row r="309" spans="5:5" ht="16" x14ac:dyDescent="0.2">
      <c r="E309" s="10"/>
    </row>
    <row r="310" spans="5:5" ht="16" x14ac:dyDescent="0.2">
      <c r="E310" s="10"/>
    </row>
    <row r="311" spans="5:5" ht="16" x14ac:dyDescent="0.2">
      <c r="E311" s="10"/>
    </row>
    <row r="312" spans="5:5" ht="16" x14ac:dyDescent="0.2">
      <c r="E312" s="10"/>
    </row>
    <row r="313" spans="5:5" ht="16" x14ac:dyDescent="0.2">
      <c r="E313" s="10"/>
    </row>
    <row r="314" spans="5:5" ht="16" x14ac:dyDescent="0.2">
      <c r="E314" s="10"/>
    </row>
    <row r="315" spans="5:5" ht="16" x14ac:dyDescent="0.2">
      <c r="E315" s="10"/>
    </row>
    <row r="316" spans="5:5" ht="16" x14ac:dyDescent="0.2">
      <c r="E316" s="10"/>
    </row>
    <row r="317" spans="5:5" ht="16" x14ac:dyDescent="0.2">
      <c r="E317" s="10"/>
    </row>
    <row r="318" spans="5:5" ht="16" x14ac:dyDescent="0.2">
      <c r="E318" s="10"/>
    </row>
    <row r="319" spans="5:5" ht="16" x14ac:dyDescent="0.2">
      <c r="E319" s="10"/>
    </row>
    <row r="320" spans="5:5" ht="16" x14ac:dyDescent="0.2">
      <c r="E320" s="10"/>
    </row>
    <row r="321" spans="5:5" ht="16" x14ac:dyDescent="0.2">
      <c r="E321" s="10"/>
    </row>
    <row r="322" spans="5:5" ht="16" x14ac:dyDescent="0.2">
      <c r="E322" s="10"/>
    </row>
    <row r="323" spans="5:5" ht="16" x14ac:dyDescent="0.2">
      <c r="E323" s="10"/>
    </row>
    <row r="324" spans="5:5" ht="16" x14ac:dyDescent="0.2">
      <c r="E324" s="10"/>
    </row>
    <row r="325" spans="5:5" ht="16" x14ac:dyDescent="0.2">
      <c r="E325" s="10"/>
    </row>
    <row r="326" spans="5:5" ht="16" x14ac:dyDescent="0.2">
      <c r="E326" s="10"/>
    </row>
    <row r="327" spans="5:5" ht="16" x14ac:dyDescent="0.2">
      <c r="E327" s="10"/>
    </row>
    <row r="328" spans="5:5" ht="16" x14ac:dyDescent="0.2">
      <c r="E328" s="10"/>
    </row>
    <row r="329" spans="5:5" ht="16" x14ac:dyDescent="0.2">
      <c r="E329" s="10"/>
    </row>
    <row r="330" spans="5:5" ht="16" x14ac:dyDescent="0.2">
      <c r="E330" s="10"/>
    </row>
    <row r="331" spans="5:5" ht="16" x14ac:dyDescent="0.2">
      <c r="E331" s="10"/>
    </row>
    <row r="332" spans="5:5" ht="16" x14ac:dyDescent="0.2">
      <c r="E332" s="10"/>
    </row>
    <row r="333" spans="5:5" ht="16" x14ac:dyDescent="0.2">
      <c r="E333" s="10"/>
    </row>
    <row r="334" spans="5:5" ht="16" x14ac:dyDescent="0.2">
      <c r="E334" s="10"/>
    </row>
    <row r="335" spans="5:5" ht="16" x14ac:dyDescent="0.2">
      <c r="E335" s="10"/>
    </row>
    <row r="336" spans="5:5" ht="16" x14ac:dyDescent="0.2">
      <c r="E336" s="10"/>
    </row>
    <row r="337" spans="5:5" ht="16" x14ac:dyDescent="0.2">
      <c r="E337" s="10"/>
    </row>
    <row r="338" spans="5:5" ht="16" x14ac:dyDescent="0.2">
      <c r="E338" s="10"/>
    </row>
    <row r="339" spans="5:5" ht="16" x14ac:dyDescent="0.2">
      <c r="E339" s="10"/>
    </row>
    <row r="340" spans="5:5" ht="16" x14ac:dyDescent="0.2">
      <c r="E340" s="10"/>
    </row>
    <row r="341" spans="5:5" ht="16" x14ac:dyDescent="0.2">
      <c r="E341" s="10"/>
    </row>
    <row r="342" spans="5:5" ht="16" x14ac:dyDescent="0.2">
      <c r="E342" s="10"/>
    </row>
    <row r="343" spans="5:5" ht="16" x14ac:dyDescent="0.2">
      <c r="E343" s="10"/>
    </row>
    <row r="344" spans="5:5" ht="16" x14ac:dyDescent="0.2">
      <c r="E344" s="10"/>
    </row>
    <row r="345" spans="5:5" ht="16" x14ac:dyDescent="0.2">
      <c r="E345" s="10"/>
    </row>
    <row r="346" spans="5:5" ht="16" x14ac:dyDescent="0.2">
      <c r="E346" s="10"/>
    </row>
    <row r="347" spans="5:5" ht="16" x14ac:dyDescent="0.2">
      <c r="E347" s="10"/>
    </row>
    <row r="348" spans="5:5" ht="16" x14ac:dyDescent="0.2">
      <c r="E348" s="10"/>
    </row>
    <row r="349" spans="5:5" ht="16" x14ac:dyDescent="0.2">
      <c r="E349" s="10"/>
    </row>
    <row r="350" spans="5:5" ht="16" x14ac:dyDescent="0.2">
      <c r="E350" s="10"/>
    </row>
    <row r="351" spans="5:5" ht="16" x14ac:dyDescent="0.2">
      <c r="E351" s="10"/>
    </row>
    <row r="352" spans="5:5" ht="16" x14ac:dyDescent="0.2">
      <c r="E352" s="10"/>
    </row>
    <row r="353" spans="5:5" ht="16" x14ac:dyDescent="0.2">
      <c r="E353" s="10"/>
    </row>
    <row r="354" spans="5:5" ht="16" x14ac:dyDescent="0.2">
      <c r="E354" s="10"/>
    </row>
    <row r="355" spans="5:5" ht="16" x14ac:dyDescent="0.2">
      <c r="E355" s="10"/>
    </row>
    <row r="356" spans="5:5" ht="16" x14ac:dyDescent="0.2">
      <c r="E356" s="10"/>
    </row>
    <row r="357" spans="5:5" ht="16" x14ac:dyDescent="0.2">
      <c r="E357" s="10"/>
    </row>
    <row r="358" spans="5:5" ht="16" x14ac:dyDescent="0.2">
      <c r="E358" s="10"/>
    </row>
    <row r="359" spans="5:5" ht="16" x14ac:dyDescent="0.2">
      <c r="E359" s="10"/>
    </row>
    <row r="360" spans="5:5" ht="16" x14ac:dyDescent="0.2">
      <c r="E360" s="10"/>
    </row>
    <row r="361" spans="5:5" ht="16" x14ac:dyDescent="0.2">
      <c r="E361" s="10"/>
    </row>
    <row r="362" spans="5:5" ht="16" x14ac:dyDescent="0.2">
      <c r="E362" s="10"/>
    </row>
    <row r="363" spans="5:5" ht="16" x14ac:dyDescent="0.2">
      <c r="E363" s="10"/>
    </row>
    <row r="364" spans="5:5" ht="16" x14ac:dyDescent="0.2">
      <c r="E364" s="10"/>
    </row>
    <row r="365" spans="5:5" ht="16" x14ac:dyDescent="0.2">
      <c r="E365" s="10"/>
    </row>
    <row r="366" spans="5:5" ht="16" x14ac:dyDescent="0.2">
      <c r="E366" s="10"/>
    </row>
    <row r="367" spans="5:5" ht="16" x14ac:dyDescent="0.2">
      <c r="E367" s="10"/>
    </row>
    <row r="368" spans="5:5" ht="16" x14ac:dyDescent="0.2">
      <c r="E368" s="10"/>
    </row>
    <row r="369" spans="5:5" ht="16" x14ac:dyDescent="0.2">
      <c r="E369" s="10"/>
    </row>
    <row r="370" spans="5:5" ht="16" x14ac:dyDescent="0.2">
      <c r="E370" s="10"/>
    </row>
    <row r="371" spans="5:5" ht="16" x14ac:dyDescent="0.2">
      <c r="E371" s="10"/>
    </row>
    <row r="372" spans="5:5" ht="16" x14ac:dyDescent="0.2">
      <c r="E372" s="10"/>
    </row>
    <row r="373" spans="5:5" ht="16" x14ac:dyDescent="0.2">
      <c r="E373" s="10"/>
    </row>
    <row r="374" spans="5:5" ht="16" x14ac:dyDescent="0.2">
      <c r="E374" s="10"/>
    </row>
    <row r="375" spans="5:5" ht="16" x14ac:dyDescent="0.2">
      <c r="E375" s="10"/>
    </row>
    <row r="376" spans="5:5" ht="16" x14ac:dyDescent="0.2">
      <c r="E376" s="10"/>
    </row>
    <row r="377" spans="5:5" ht="16" x14ac:dyDescent="0.2">
      <c r="E377" s="10"/>
    </row>
    <row r="378" spans="5:5" ht="16" x14ac:dyDescent="0.2">
      <c r="E378" s="10"/>
    </row>
    <row r="379" spans="5:5" ht="16" x14ac:dyDescent="0.2">
      <c r="E379" s="10"/>
    </row>
    <row r="380" spans="5:5" ht="16" x14ac:dyDescent="0.2">
      <c r="E380" s="10"/>
    </row>
    <row r="381" spans="5:5" ht="16" x14ac:dyDescent="0.2">
      <c r="E381" s="10"/>
    </row>
    <row r="382" spans="5:5" ht="16" x14ac:dyDescent="0.2">
      <c r="E382" s="10"/>
    </row>
    <row r="383" spans="5:5" ht="16" x14ac:dyDescent="0.2">
      <c r="E383" s="10"/>
    </row>
    <row r="384" spans="5:5" ht="16" x14ac:dyDescent="0.2">
      <c r="E384" s="10"/>
    </row>
    <row r="385" spans="5:5" ht="16" x14ac:dyDescent="0.2">
      <c r="E385" s="10"/>
    </row>
    <row r="386" spans="5:5" ht="16" x14ac:dyDescent="0.2">
      <c r="E386" s="10"/>
    </row>
    <row r="387" spans="5:5" ht="16" x14ac:dyDescent="0.2">
      <c r="E387" s="10"/>
    </row>
    <row r="388" spans="5:5" ht="16" x14ac:dyDescent="0.2">
      <c r="E388" s="10"/>
    </row>
    <row r="389" spans="5:5" ht="16" x14ac:dyDescent="0.2">
      <c r="E389" s="10"/>
    </row>
    <row r="390" spans="5:5" ht="16" x14ac:dyDescent="0.2">
      <c r="E390" s="10"/>
    </row>
    <row r="391" spans="5:5" ht="16" x14ac:dyDescent="0.2">
      <c r="E391" s="10"/>
    </row>
    <row r="392" spans="5:5" ht="16" x14ac:dyDescent="0.2">
      <c r="E392" s="10"/>
    </row>
    <row r="393" spans="5:5" ht="16" x14ac:dyDescent="0.2">
      <c r="E393" s="10"/>
    </row>
    <row r="394" spans="5:5" ht="16" x14ac:dyDescent="0.2">
      <c r="E394" s="10"/>
    </row>
    <row r="395" spans="5:5" ht="16" x14ac:dyDescent="0.2">
      <c r="E395" s="10"/>
    </row>
    <row r="396" spans="5:5" ht="16" x14ac:dyDescent="0.2">
      <c r="E396" s="10"/>
    </row>
    <row r="397" spans="5:5" ht="16" x14ac:dyDescent="0.2">
      <c r="E397" s="10"/>
    </row>
    <row r="398" spans="5:5" ht="16" x14ac:dyDescent="0.2">
      <c r="E398" s="10"/>
    </row>
    <row r="399" spans="5:5" ht="16" x14ac:dyDescent="0.2">
      <c r="E399" s="10"/>
    </row>
    <row r="400" spans="5:5" ht="16" x14ac:dyDescent="0.2">
      <c r="E400" s="10"/>
    </row>
    <row r="401" spans="5:5" ht="16" x14ac:dyDescent="0.2">
      <c r="E401" s="10"/>
    </row>
    <row r="402" spans="5:5" ht="16" x14ac:dyDescent="0.2">
      <c r="E402" s="10"/>
    </row>
    <row r="403" spans="5:5" ht="16" x14ac:dyDescent="0.2">
      <c r="E403" s="10"/>
    </row>
    <row r="404" spans="5:5" ht="16" x14ac:dyDescent="0.2">
      <c r="E404" s="10"/>
    </row>
    <row r="405" spans="5:5" ht="16" x14ac:dyDescent="0.2">
      <c r="E405" s="10"/>
    </row>
    <row r="406" spans="5:5" ht="16" x14ac:dyDescent="0.2">
      <c r="E406" s="10"/>
    </row>
    <row r="407" spans="5:5" ht="16" x14ac:dyDescent="0.2">
      <c r="E407" s="10"/>
    </row>
    <row r="408" spans="5:5" ht="16" x14ac:dyDescent="0.2">
      <c r="E408" s="10"/>
    </row>
    <row r="409" spans="5:5" ht="16" x14ac:dyDescent="0.2">
      <c r="E409" s="10"/>
    </row>
    <row r="410" spans="5:5" ht="16" x14ac:dyDescent="0.2">
      <c r="E410" s="10"/>
    </row>
    <row r="411" spans="5:5" ht="16" x14ac:dyDescent="0.2">
      <c r="E411" s="10"/>
    </row>
    <row r="412" spans="5:5" ht="16" x14ac:dyDescent="0.2">
      <c r="E412" s="10"/>
    </row>
    <row r="413" spans="5:5" ht="16" x14ac:dyDescent="0.2">
      <c r="E413" s="10"/>
    </row>
    <row r="414" spans="5:5" ht="16" x14ac:dyDescent="0.2">
      <c r="E414" s="10"/>
    </row>
    <row r="415" spans="5:5" ht="16" x14ac:dyDescent="0.2">
      <c r="E415" s="10"/>
    </row>
    <row r="416" spans="5:5" ht="16" x14ac:dyDescent="0.2">
      <c r="E416" s="10"/>
    </row>
    <row r="417" spans="5:5" ht="16" x14ac:dyDescent="0.2">
      <c r="E417" s="10"/>
    </row>
    <row r="418" spans="5:5" ht="16" x14ac:dyDescent="0.2">
      <c r="E418" s="10"/>
    </row>
    <row r="419" spans="5:5" ht="16" x14ac:dyDescent="0.2">
      <c r="E419" s="10"/>
    </row>
    <row r="420" spans="5:5" ht="16" x14ac:dyDescent="0.2">
      <c r="E420" s="10"/>
    </row>
    <row r="421" spans="5:5" ht="16" x14ac:dyDescent="0.2">
      <c r="E421" s="10"/>
    </row>
    <row r="422" spans="5:5" ht="16" x14ac:dyDescent="0.2">
      <c r="E422" s="10"/>
    </row>
    <row r="423" spans="5:5" ht="16" x14ac:dyDescent="0.2">
      <c r="E423" s="10"/>
    </row>
    <row r="424" spans="5:5" ht="16" x14ac:dyDescent="0.2">
      <c r="E424" s="10"/>
    </row>
    <row r="425" spans="5:5" ht="16" x14ac:dyDescent="0.2">
      <c r="E425" s="10"/>
    </row>
    <row r="426" spans="5:5" ht="16" x14ac:dyDescent="0.2">
      <c r="E426" s="10"/>
    </row>
    <row r="427" spans="5:5" ht="16" x14ac:dyDescent="0.2">
      <c r="E427" s="10"/>
    </row>
    <row r="428" spans="5:5" ht="16" x14ac:dyDescent="0.2">
      <c r="E428" s="10"/>
    </row>
    <row r="429" spans="5:5" ht="16" x14ac:dyDescent="0.2">
      <c r="E429" s="10"/>
    </row>
    <row r="430" spans="5:5" ht="16" x14ac:dyDescent="0.2">
      <c r="E430" s="10"/>
    </row>
    <row r="431" spans="5:5" ht="16" x14ac:dyDescent="0.2">
      <c r="E431" s="10"/>
    </row>
    <row r="432" spans="5:5" ht="16" x14ac:dyDescent="0.2">
      <c r="E432" s="10"/>
    </row>
    <row r="433" spans="5:5" ht="16" x14ac:dyDescent="0.2">
      <c r="E433" s="10"/>
    </row>
    <row r="434" spans="5:5" ht="16" x14ac:dyDescent="0.2">
      <c r="E434" s="10"/>
    </row>
    <row r="435" spans="5:5" ht="16" x14ac:dyDescent="0.2">
      <c r="E435" s="10"/>
    </row>
    <row r="436" spans="5:5" ht="16" x14ac:dyDescent="0.2">
      <c r="E436" s="10"/>
    </row>
    <row r="437" spans="5:5" ht="16" x14ac:dyDescent="0.2">
      <c r="E437" s="10"/>
    </row>
    <row r="438" spans="5:5" ht="16" x14ac:dyDescent="0.2">
      <c r="E438" s="10"/>
    </row>
    <row r="439" spans="5:5" ht="16" x14ac:dyDescent="0.2">
      <c r="E439" s="10"/>
    </row>
    <row r="440" spans="5:5" ht="16" x14ac:dyDescent="0.2">
      <c r="E440" s="10"/>
    </row>
    <row r="441" spans="5:5" ht="16" x14ac:dyDescent="0.2">
      <c r="E441" s="10"/>
    </row>
    <row r="442" spans="5:5" ht="16" x14ac:dyDescent="0.2">
      <c r="E442" s="10"/>
    </row>
    <row r="443" spans="5:5" ht="16" x14ac:dyDescent="0.2">
      <c r="E443" s="10"/>
    </row>
    <row r="444" spans="5:5" ht="16" x14ac:dyDescent="0.2">
      <c r="E444" s="10"/>
    </row>
    <row r="445" spans="5:5" ht="16" x14ac:dyDescent="0.2">
      <c r="E445" s="10"/>
    </row>
    <row r="446" spans="5:5" ht="16" x14ac:dyDescent="0.2">
      <c r="E446" s="10"/>
    </row>
    <row r="447" spans="5:5" ht="16" x14ac:dyDescent="0.2">
      <c r="E447" s="10"/>
    </row>
    <row r="448" spans="5:5" ht="16" x14ac:dyDescent="0.2">
      <c r="E448" s="10"/>
    </row>
    <row r="449" spans="5:5" ht="16" x14ac:dyDescent="0.2">
      <c r="E449" s="10"/>
    </row>
    <row r="450" spans="5:5" ht="16" x14ac:dyDescent="0.2">
      <c r="E450" s="10"/>
    </row>
    <row r="451" spans="5:5" ht="16" x14ac:dyDescent="0.2">
      <c r="E451" s="10"/>
    </row>
    <row r="452" spans="5:5" ht="16" x14ac:dyDescent="0.2">
      <c r="E452" s="10"/>
    </row>
    <row r="453" spans="5:5" ht="16" x14ac:dyDescent="0.2">
      <c r="E453" s="10"/>
    </row>
    <row r="454" spans="5:5" ht="16" x14ac:dyDescent="0.2">
      <c r="E454" s="10"/>
    </row>
    <row r="455" spans="5:5" ht="16" x14ac:dyDescent="0.2">
      <c r="E455" s="10"/>
    </row>
    <row r="456" spans="5:5" ht="16" x14ac:dyDescent="0.2">
      <c r="E456" s="10"/>
    </row>
    <row r="457" spans="5:5" ht="16" x14ac:dyDescent="0.2">
      <c r="E457" s="10"/>
    </row>
    <row r="458" spans="5:5" ht="16" x14ac:dyDescent="0.2">
      <c r="E458" s="10"/>
    </row>
    <row r="459" spans="5:5" ht="16" x14ac:dyDescent="0.2">
      <c r="E459" s="10"/>
    </row>
    <row r="460" spans="5:5" ht="16" x14ac:dyDescent="0.2">
      <c r="E460" s="10"/>
    </row>
    <row r="461" spans="5:5" ht="16" x14ac:dyDescent="0.2">
      <c r="E461" s="10"/>
    </row>
    <row r="462" spans="5:5" ht="16" x14ac:dyDescent="0.2">
      <c r="E462" s="10"/>
    </row>
    <row r="463" spans="5:5" ht="16" x14ac:dyDescent="0.2">
      <c r="E463" s="10"/>
    </row>
    <row r="464" spans="5:5" ht="16" x14ac:dyDescent="0.2">
      <c r="E464" s="10"/>
    </row>
    <row r="465" spans="5:5" ht="16" x14ac:dyDescent="0.2">
      <c r="E465" s="10"/>
    </row>
    <row r="466" spans="5:5" ht="16" x14ac:dyDescent="0.2">
      <c r="E466" s="10"/>
    </row>
    <row r="467" spans="5:5" ht="16" x14ac:dyDescent="0.2">
      <c r="E467" s="10"/>
    </row>
    <row r="468" spans="5:5" ht="16" x14ac:dyDescent="0.2">
      <c r="E468" s="10"/>
    </row>
    <row r="469" spans="5:5" ht="16" x14ac:dyDescent="0.2">
      <c r="E469" s="10"/>
    </row>
    <row r="470" spans="5:5" ht="16" x14ac:dyDescent="0.2">
      <c r="E470" s="10"/>
    </row>
    <row r="471" spans="5:5" ht="16" x14ac:dyDescent="0.2">
      <c r="E471" s="10"/>
    </row>
    <row r="472" spans="5:5" ht="16" x14ac:dyDescent="0.2">
      <c r="E472" s="10"/>
    </row>
    <row r="473" spans="5:5" ht="16" x14ac:dyDescent="0.2">
      <c r="E473" s="10"/>
    </row>
    <row r="474" spans="5:5" ht="16" x14ac:dyDescent="0.2">
      <c r="E474" s="10"/>
    </row>
    <row r="475" spans="5:5" ht="16" x14ac:dyDescent="0.2">
      <c r="E475" s="10"/>
    </row>
    <row r="476" spans="5:5" ht="16" x14ac:dyDescent="0.2">
      <c r="E476" s="10"/>
    </row>
    <row r="477" spans="5:5" ht="16" x14ac:dyDescent="0.2">
      <c r="E477" s="10"/>
    </row>
    <row r="478" spans="5:5" ht="16" x14ac:dyDescent="0.2">
      <c r="E478" s="10"/>
    </row>
    <row r="479" spans="5:5" ht="16" x14ac:dyDescent="0.2">
      <c r="E479" s="10"/>
    </row>
    <row r="480" spans="5:5" ht="16" x14ac:dyDescent="0.2">
      <c r="E480" s="10"/>
    </row>
    <row r="481" spans="5:5" ht="16" x14ac:dyDescent="0.2">
      <c r="E481" s="10"/>
    </row>
    <row r="482" spans="5:5" ht="16" x14ac:dyDescent="0.2">
      <c r="E482" s="10"/>
    </row>
    <row r="483" spans="5:5" ht="16" x14ac:dyDescent="0.2">
      <c r="E483" s="10"/>
    </row>
    <row r="484" spans="5:5" ht="16" x14ac:dyDescent="0.2">
      <c r="E484" s="10"/>
    </row>
    <row r="485" spans="5:5" ht="16" x14ac:dyDescent="0.2">
      <c r="E485" s="10"/>
    </row>
    <row r="486" spans="5:5" ht="16" x14ac:dyDescent="0.2">
      <c r="E486" s="10"/>
    </row>
    <row r="487" spans="5:5" ht="16" x14ac:dyDescent="0.2">
      <c r="E487" s="10"/>
    </row>
    <row r="488" spans="5:5" ht="16" x14ac:dyDescent="0.2">
      <c r="E488" s="10"/>
    </row>
    <row r="489" spans="5:5" ht="16" x14ac:dyDescent="0.2">
      <c r="E489" s="10"/>
    </row>
    <row r="490" spans="5:5" ht="16" x14ac:dyDescent="0.2">
      <c r="E490" s="10"/>
    </row>
    <row r="491" spans="5:5" ht="16" x14ac:dyDescent="0.2">
      <c r="E491" s="10"/>
    </row>
    <row r="492" spans="5:5" ht="16" x14ac:dyDescent="0.2">
      <c r="E492" s="10"/>
    </row>
    <row r="493" spans="5:5" ht="16" x14ac:dyDescent="0.2">
      <c r="E493" s="10"/>
    </row>
    <row r="494" spans="5:5" ht="16" x14ac:dyDescent="0.2">
      <c r="E494" s="10"/>
    </row>
    <row r="495" spans="5:5" ht="16" x14ac:dyDescent="0.2">
      <c r="E495" s="10"/>
    </row>
    <row r="496" spans="5:5" ht="16" x14ac:dyDescent="0.2">
      <c r="E496" s="10"/>
    </row>
    <row r="497" spans="5:5" ht="16" x14ac:dyDescent="0.2">
      <c r="E497" s="10"/>
    </row>
    <row r="498" spans="5:5" ht="16" x14ac:dyDescent="0.2">
      <c r="E498" s="10"/>
    </row>
    <row r="499" spans="5:5" ht="16" x14ac:dyDescent="0.2">
      <c r="E499" s="10"/>
    </row>
    <row r="500" spans="5:5" ht="16" x14ac:dyDescent="0.2">
      <c r="E500" s="10"/>
    </row>
    <row r="501" spans="5:5" ht="16" x14ac:dyDescent="0.2">
      <c r="E501" s="10"/>
    </row>
    <row r="502" spans="5:5" ht="16" x14ac:dyDescent="0.2">
      <c r="E502" s="10"/>
    </row>
    <row r="503" spans="5:5" ht="16" x14ac:dyDescent="0.2">
      <c r="E503" s="10"/>
    </row>
    <row r="504" spans="5:5" ht="16" x14ac:dyDescent="0.2">
      <c r="E504" s="10"/>
    </row>
    <row r="505" spans="5:5" ht="16" x14ac:dyDescent="0.2">
      <c r="E505" s="10"/>
    </row>
    <row r="506" spans="5:5" ht="16" x14ac:dyDescent="0.2">
      <c r="E506" s="10"/>
    </row>
    <row r="507" spans="5:5" ht="16" x14ac:dyDescent="0.2">
      <c r="E507" s="10"/>
    </row>
    <row r="508" spans="5:5" ht="16" x14ac:dyDescent="0.2">
      <c r="E508" s="10"/>
    </row>
    <row r="509" spans="5:5" ht="16" x14ac:dyDescent="0.2">
      <c r="E509" s="10"/>
    </row>
    <row r="510" spans="5:5" ht="16" x14ac:dyDescent="0.2">
      <c r="E510" s="10"/>
    </row>
    <row r="511" spans="5:5" ht="16" x14ac:dyDescent="0.2">
      <c r="E511" s="10"/>
    </row>
    <row r="512" spans="5:5" ht="16" x14ac:dyDescent="0.2">
      <c r="E512" s="10"/>
    </row>
    <row r="513" spans="5:5" ht="16" x14ac:dyDescent="0.2">
      <c r="E513" s="10"/>
    </row>
    <row r="514" spans="5:5" ht="16" x14ac:dyDescent="0.2">
      <c r="E514" s="10"/>
    </row>
    <row r="515" spans="5:5" ht="16" x14ac:dyDescent="0.2">
      <c r="E515" s="10"/>
    </row>
    <row r="516" spans="5:5" ht="16" x14ac:dyDescent="0.2">
      <c r="E516" s="10"/>
    </row>
    <row r="517" spans="5:5" ht="16" x14ac:dyDescent="0.2">
      <c r="E517" s="10"/>
    </row>
    <row r="518" spans="5:5" ht="16" x14ac:dyDescent="0.2">
      <c r="E518" s="10"/>
    </row>
    <row r="519" spans="5:5" ht="16" x14ac:dyDescent="0.2">
      <c r="E519" s="10"/>
    </row>
    <row r="520" spans="5:5" ht="16" x14ac:dyDescent="0.2">
      <c r="E520" s="10"/>
    </row>
    <row r="521" spans="5:5" ht="16" x14ac:dyDescent="0.2">
      <c r="E521" s="10"/>
    </row>
    <row r="522" spans="5:5" ht="16" x14ac:dyDescent="0.2">
      <c r="E522" s="10"/>
    </row>
    <row r="523" spans="5:5" ht="16" x14ac:dyDescent="0.2">
      <c r="E523" s="10"/>
    </row>
    <row r="524" spans="5:5" ht="16" x14ac:dyDescent="0.2">
      <c r="E524" s="10"/>
    </row>
    <row r="525" spans="5:5" ht="16" x14ac:dyDescent="0.2">
      <c r="E525" s="10"/>
    </row>
    <row r="526" spans="5:5" ht="16" x14ac:dyDescent="0.2">
      <c r="E526" s="10"/>
    </row>
    <row r="527" spans="5:5" ht="16" x14ac:dyDescent="0.2">
      <c r="E527" s="10"/>
    </row>
    <row r="528" spans="5:5" ht="16" x14ac:dyDescent="0.2">
      <c r="E528" s="10"/>
    </row>
    <row r="529" spans="5:5" ht="16" x14ac:dyDescent="0.2">
      <c r="E529" s="10"/>
    </row>
    <row r="530" spans="5:5" ht="16" x14ac:dyDescent="0.2">
      <c r="E530" s="10"/>
    </row>
    <row r="531" spans="5:5" ht="16" x14ac:dyDescent="0.2">
      <c r="E531" s="10"/>
    </row>
    <row r="532" spans="5:5" ht="16" x14ac:dyDescent="0.2">
      <c r="E532" s="10"/>
    </row>
    <row r="533" spans="5:5" ht="16" x14ac:dyDescent="0.2">
      <c r="E533" s="10"/>
    </row>
    <row r="534" spans="5:5" ht="16" x14ac:dyDescent="0.2">
      <c r="E534" s="10"/>
    </row>
    <row r="535" spans="5:5" ht="16" x14ac:dyDescent="0.2">
      <c r="E535" s="10"/>
    </row>
    <row r="536" spans="5:5" ht="16" x14ac:dyDescent="0.2">
      <c r="E536" s="10"/>
    </row>
    <row r="537" spans="5:5" ht="16" x14ac:dyDescent="0.2">
      <c r="E537" s="10"/>
    </row>
    <row r="538" spans="5:5" ht="16" x14ac:dyDescent="0.2">
      <c r="E538" s="10"/>
    </row>
    <row r="539" spans="5:5" ht="16" x14ac:dyDescent="0.2">
      <c r="E539" s="10"/>
    </row>
    <row r="540" spans="5:5" ht="16" x14ac:dyDescent="0.2">
      <c r="E540" s="10"/>
    </row>
    <row r="541" spans="5:5" ht="16" x14ac:dyDescent="0.2">
      <c r="E541" s="10"/>
    </row>
    <row r="542" spans="5:5" ht="16" x14ac:dyDescent="0.2">
      <c r="E542" s="10"/>
    </row>
    <row r="543" spans="5:5" ht="16" x14ac:dyDescent="0.2">
      <c r="E543" s="10"/>
    </row>
    <row r="544" spans="5:5" ht="16" x14ac:dyDescent="0.2">
      <c r="E544" s="10"/>
    </row>
    <row r="545" spans="5:5" ht="16" x14ac:dyDescent="0.2">
      <c r="E545" s="10"/>
    </row>
    <row r="546" spans="5:5" ht="16" x14ac:dyDescent="0.2">
      <c r="E546" s="10"/>
    </row>
    <row r="547" spans="5:5" ht="16" x14ac:dyDescent="0.2">
      <c r="E547" s="10"/>
    </row>
    <row r="548" spans="5:5" ht="16" x14ac:dyDescent="0.2">
      <c r="E548" s="10"/>
    </row>
    <row r="549" spans="5:5" ht="16" x14ac:dyDescent="0.2">
      <c r="E549" s="10"/>
    </row>
    <row r="550" spans="5:5" ht="16" x14ac:dyDescent="0.2">
      <c r="E550" s="10"/>
    </row>
    <row r="551" spans="5:5" ht="16" x14ac:dyDescent="0.2">
      <c r="E551" s="10"/>
    </row>
    <row r="552" spans="5:5" ht="16" x14ac:dyDescent="0.2">
      <c r="E552" s="10"/>
    </row>
    <row r="553" spans="5:5" ht="16" x14ac:dyDescent="0.2">
      <c r="E553" s="10"/>
    </row>
    <row r="554" spans="5:5" ht="16" x14ac:dyDescent="0.2">
      <c r="E554" s="10"/>
    </row>
    <row r="555" spans="5:5" ht="16" x14ac:dyDescent="0.2">
      <c r="E555" s="10"/>
    </row>
    <row r="556" spans="5:5" ht="16" x14ac:dyDescent="0.2">
      <c r="E556" s="10"/>
    </row>
    <row r="557" spans="5:5" ht="16" x14ac:dyDescent="0.2">
      <c r="E557" s="10"/>
    </row>
    <row r="558" spans="5:5" ht="16" x14ac:dyDescent="0.2">
      <c r="E558" s="10"/>
    </row>
    <row r="559" spans="5:5" ht="16" x14ac:dyDescent="0.2">
      <c r="E559" s="10"/>
    </row>
    <row r="560" spans="5:5" ht="16" x14ac:dyDescent="0.2">
      <c r="E560" s="10"/>
    </row>
    <row r="561" spans="5:5" ht="16" x14ac:dyDescent="0.2">
      <c r="E561" s="10"/>
    </row>
    <row r="562" spans="5:5" ht="16" x14ac:dyDescent="0.2">
      <c r="E562" s="10"/>
    </row>
    <row r="563" spans="5:5" ht="16" x14ac:dyDescent="0.2">
      <c r="E563" s="10"/>
    </row>
    <row r="564" spans="5:5" ht="16" x14ac:dyDescent="0.2">
      <c r="E564" s="10"/>
    </row>
    <row r="565" spans="5:5" ht="16" x14ac:dyDescent="0.2">
      <c r="E565" s="10"/>
    </row>
    <row r="566" spans="5:5" ht="16" x14ac:dyDescent="0.2">
      <c r="E566" s="10"/>
    </row>
    <row r="567" spans="5:5" ht="16" x14ac:dyDescent="0.2">
      <c r="E567" s="10"/>
    </row>
    <row r="568" spans="5:5" ht="16" x14ac:dyDescent="0.2">
      <c r="E568" s="10"/>
    </row>
    <row r="569" spans="5:5" ht="16" x14ac:dyDescent="0.2">
      <c r="E569" s="10"/>
    </row>
    <row r="570" spans="5:5" ht="16" x14ac:dyDescent="0.2">
      <c r="E570" s="10"/>
    </row>
    <row r="571" spans="5:5" ht="16" x14ac:dyDescent="0.2">
      <c r="E571" s="10"/>
    </row>
    <row r="572" spans="5:5" ht="16" x14ac:dyDescent="0.2">
      <c r="E572" s="10"/>
    </row>
    <row r="573" spans="5:5" ht="16" x14ac:dyDescent="0.2">
      <c r="E573" s="10"/>
    </row>
    <row r="574" spans="5:5" ht="16" x14ac:dyDescent="0.2">
      <c r="E574" s="10"/>
    </row>
    <row r="575" spans="5:5" ht="16" x14ac:dyDescent="0.2">
      <c r="E575" s="10"/>
    </row>
    <row r="576" spans="5:5" ht="16" x14ac:dyDescent="0.2">
      <c r="E576" s="10"/>
    </row>
    <row r="577" spans="5:5" ht="16" x14ac:dyDescent="0.2">
      <c r="E577" s="10"/>
    </row>
    <row r="578" spans="5:5" ht="16" x14ac:dyDescent="0.2">
      <c r="E578" s="10"/>
    </row>
    <row r="579" spans="5:5" ht="16" x14ac:dyDescent="0.2">
      <c r="E579" s="10"/>
    </row>
    <row r="580" spans="5:5" ht="16" x14ac:dyDescent="0.2">
      <c r="E580" s="10"/>
    </row>
    <row r="581" spans="5:5" ht="16" x14ac:dyDescent="0.2">
      <c r="E581" s="10"/>
    </row>
    <row r="582" spans="5:5" ht="16" x14ac:dyDescent="0.2">
      <c r="E582" s="10"/>
    </row>
    <row r="583" spans="5:5" ht="16" x14ac:dyDescent="0.2">
      <c r="E583" s="10"/>
    </row>
    <row r="584" spans="5:5" ht="16" x14ac:dyDescent="0.2">
      <c r="E584" s="10"/>
    </row>
    <row r="585" spans="5:5" ht="16" x14ac:dyDescent="0.2">
      <c r="E585" s="10"/>
    </row>
    <row r="586" spans="5:5" ht="16" x14ac:dyDescent="0.2">
      <c r="E586" s="10"/>
    </row>
    <row r="587" spans="5:5" ht="16" x14ac:dyDescent="0.2">
      <c r="E587" s="10"/>
    </row>
    <row r="588" spans="5:5" ht="16" x14ac:dyDescent="0.2">
      <c r="E588" s="10"/>
    </row>
    <row r="589" spans="5:5" ht="16" x14ac:dyDescent="0.2">
      <c r="E589" s="10"/>
    </row>
    <row r="590" spans="5:5" ht="16" x14ac:dyDescent="0.2">
      <c r="E590" s="10"/>
    </row>
    <row r="591" spans="5:5" ht="16" x14ac:dyDescent="0.2">
      <c r="E591" s="10"/>
    </row>
    <row r="592" spans="5:5" ht="16" x14ac:dyDescent="0.2">
      <c r="E592" s="10"/>
    </row>
    <row r="593" spans="5:5" ht="16" x14ac:dyDescent="0.2">
      <c r="E593" s="10"/>
    </row>
    <row r="594" spans="5:5" ht="16" x14ac:dyDescent="0.2">
      <c r="E594" s="10"/>
    </row>
    <row r="595" spans="5:5" ht="16" x14ac:dyDescent="0.2">
      <c r="E595" s="10"/>
    </row>
    <row r="596" spans="5:5" ht="16" x14ac:dyDescent="0.2">
      <c r="E596" s="10"/>
    </row>
    <row r="597" spans="5:5" ht="16" x14ac:dyDescent="0.2">
      <c r="E597" s="10"/>
    </row>
    <row r="598" spans="5:5" ht="16" x14ac:dyDescent="0.2">
      <c r="E598" s="10"/>
    </row>
    <row r="599" spans="5:5" ht="16" x14ac:dyDescent="0.2">
      <c r="E599" s="10"/>
    </row>
    <row r="600" spans="5:5" ht="16" x14ac:dyDescent="0.2">
      <c r="E600" s="10"/>
    </row>
    <row r="601" spans="5:5" ht="16" x14ac:dyDescent="0.2">
      <c r="E601" s="10"/>
    </row>
    <row r="602" spans="5:5" ht="16" x14ac:dyDescent="0.2">
      <c r="E602" s="10"/>
    </row>
    <row r="603" spans="5:5" ht="16" x14ac:dyDescent="0.2">
      <c r="E603" s="10"/>
    </row>
    <row r="604" spans="5:5" ht="16" x14ac:dyDescent="0.2">
      <c r="E604" s="10"/>
    </row>
    <row r="605" spans="5:5" ht="16" x14ac:dyDescent="0.2">
      <c r="E605" s="10"/>
    </row>
    <row r="606" spans="5:5" ht="16" x14ac:dyDescent="0.2">
      <c r="E606" s="10"/>
    </row>
    <row r="607" spans="5:5" ht="16" x14ac:dyDescent="0.2">
      <c r="E607" s="10"/>
    </row>
    <row r="608" spans="5:5" ht="16" x14ac:dyDescent="0.2">
      <c r="E608" s="10"/>
    </row>
    <row r="609" spans="5:5" ht="16" x14ac:dyDescent="0.2">
      <c r="E609" s="10"/>
    </row>
    <row r="610" spans="5:5" ht="16" x14ac:dyDescent="0.2">
      <c r="E610" s="10"/>
    </row>
    <row r="611" spans="5:5" ht="16" x14ac:dyDescent="0.2">
      <c r="E611" s="10"/>
    </row>
    <row r="612" spans="5:5" ht="16" x14ac:dyDescent="0.2">
      <c r="E612" s="10"/>
    </row>
    <row r="613" spans="5:5" ht="16" x14ac:dyDescent="0.2">
      <c r="E613" s="10"/>
    </row>
    <row r="614" spans="5:5" ht="16" x14ac:dyDescent="0.2">
      <c r="E614" s="10"/>
    </row>
    <row r="615" spans="5:5" ht="16" x14ac:dyDescent="0.2">
      <c r="E615" s="10"/>
    </row>
    <row r="616" spans="5:5" ht="16" x14ac:dyDescent="0.2">
      <c r="E616" s="10"/>
    </row>
    <row r="617" spans="5:5" ht="16" x14ac:dyDescent="0.2">
      <c r="E617" s="10"/>
    </row>
    <row r="618" spans="5:5" ht="16" x14ac:dyDescent="0.2">
      <c r="E618" s="10"/>
    </row>
    <row r="619" spans="5:5" ht="16" x14ac:dyDescent="0.2">
      <c r="E619" s="10"/>
    </row>
    <row r="620" spans="5:5" ht="16" x14ac:dyDescent="0.2">
      <c r="E620" s="10"/>
    </row>
    <row r="621" spans="5:5" ht="16" x14ac:dyDescent="0.2">
      <c r="E621" s="10"/>
    </row>
    <row r="622" spans="5:5" ht="16" x14ac:dyDescent="0.2">
      <c r="E622" s="10"/>
    </row>
    <row r="623" spans="5:5" ht="16" x14ac:dyDescent="0.2">
      <c r="E623" s="10"/>
    </row>
    <row r="624" spans="5:5" ht="16" x14ac:dyDescent="0.2">
      <c r="E624" s="10"/>
    </row>
    <row r="625" spans="5:5" ht="16" x14ac:dyDescent="0.2">
      <c r="E625" s="10"/>
    </row>
    <row r="626" spans="5:5" ht="16" x14ac:dyDescent="0.2">
      <c r="E626" s="10"/>
    </row>
    <row r="627" spans="5:5" ht="16" x14ac:dyDescent="0.2">
      <c r="E627" s="10"/>
    </row>
    <row r="628" spans="5:5" ht="16" x14ac:dyDescent="0.2">
      <c r="E628" s="10"/>
    </row>
    <row r="629" spans="5:5" ht="16" x14ac:dyDescent="0.2">
      <c r="E629" s="10"/>
    </row>
    <row r="630" spans="5:5" ht="16" x14ac:dyDescent="0.2">
      <c r="E630" s="10"/>
    </row>
    <row r="631" spans="5:5" ht="16" x14ac:dyDescent="0.2">
      <c r="E631" s="10"/>
    </row>
    <row r="632" spans="5:5" ht="16" x14ac:dyDescent="0.2">
      <c r="E632" s="10"/>
    </row>
    <row r="633" spans="5:5" ht="16" x14ac:dyDescent="0.2">
      <c r="E633" s="10"/>
    </row>
    <row r="634" spans="5:5" ht="16" x14ac:dyDescent="0.2">
      <c r="E634" s="10"/>
    </row>
    <row r="635" spans="5:5" ht="16" x14ac:dyDescent="0.2">
      <c r="E635" s="10"/>
    </row>
    <row r="636" spans="5:5" ht="16" x14ac:dyDescent="0.2">
      <c r="E636" s="10"/>
    </row>
    <row r="637" spans="5:5" ht="16" x14ac:dyDescent="0.2">
      <c r="E637" s="10"/>
    </row>
    <row r="638" spans="5:5" ht="16" x14ac:dyDescent="0.2">
      <c r="E638" s="10"/>
    </row>
    <row r="639" spans="5:5" ht="16" x14ac:dyDescent="0.2">
      <c r="E639" s="10"/>
    </row>
    <row r="640" spans="5:5" ht="16" x14ac:dyDescent="0.2">
      <c r="E640" s="10"/>
    </row>
    <row r="641" spans="5:5" ht="16" x14ac:dyDescent="0.2">
      <c r="E641" s="10"/>
    </row>
    <row r="642" spans="5:5" ht="16" x14ac:dyDescent="0.2">
      <c r="E642" s="10"/>
    </row>
    <row r="643" spans="5:5" ht="16" x14ac:dyDescent="0.2">
      <c r="E643" s="10"/>
    </row>
    <row r="644" spans="5:5" ht="16" x14ac:dyDescent="0.2">
      <c r="E644" s="10"/>
    </row>
    <row r="645" spans="5:5" ht="16" x14ac:dyDescent="0.2">
      <c r="E645" s="10"/>
    </row>
    <row r="646" spans="5:5" ht="16" x14ac:dyDescent="0.2">
      <c r="E646" s="10"/>
    </row>
    <row r="647" spans="5:5" ht="16" x14ac:dyDescent="0.2">
      <c r="E647" s="10"/>
    </row>
    <row r="648" spans="5:5" ht="16" x14ac:dyDescent="0.2">
      <c r="E648" s="10"/>
    </row>
    <row r="649" spans="5:5" ht="16" x14ac:dyDescent="0.2">
      <c r="E649" s="10"/>
    </row>
    <row r="650" spans="5:5" ht="16" x14ac:dyDescent="0.2">
      <c r="E650" s="10"/>
    </row>
    <row r="651" spans="5:5" ht="16" x14ac:dyDescent="0.2">
      <c r="E651" s="10"/>
    </row>
    <row r="652" spans="5:5" ht="16" x14ac:dyDescent="0.2">
      <c r="E652" s="10"/>
    </row>
    <row r="653" spans="5:5" ht="16" x14ac:dyDescent="0.2">
      <c r="E653" s="10"/>
    </row>
    <row r="654" spans="5:5" ht="16" x14ac:dyDescent="0.2">
      <c r="E654" s="10"/>
    </row>
    <row r="655" spans="5:5" ht="16" x14ac:dyDescent="0.2">
      <c r="E655" s="10"/>
    </row>
    <row r="656" spans="5:5" ht="16" x14ac:dyDescent="0.2">
      <c r="E656" s="10"/>
    </row>
    <row r="657" spans="5:5" ht="16" x14ac:dyDescent="0.2">
      <c r="E657" s="10"/>
    </row>
    <row r="658" spans="5:5" ht="16" x14ac:dyDescent="0.2">
      <c r="E658" s="10"/>
    </row>
    <row r="659" spans="5:5" ht="16" x14ac:dyDescent="0.2">
      <c r="E659" s="10"/>
    </row>
    <row r="660" spans="5:5" ht="16" x14ac:dyDescent="0.2">
      <c r="E660" s="10"/>
    </row>
    <row r="661" spans="5:5" ht="16" x14ac:dyDescent="0.2">
      <c r="E661" s="10"/>
    </row>
    <row r="662" spans="5:5" ht="16" x14ac:dyDescent="0.2">
      <c r="E662" s="10"/>
    </row>
    <row r="663" spans="5:5" ht="16" x14ac:dyDescent="0.2">
      <c r="E663" s="10"/>
    </row>
    <row r="664" spans="5:5" ht="16" x14ac:dyDescent="0.2">
      <c r="E664" s="10"/>
    </row>
    <row r="665" spans="5:5" ht="16" x14ac:dyDescent="0.2">
      <c r="E665" s="10"/>
    </row>
    <row r="666" spans="5:5" ht="16" x14ac:dyDescent="0.2">
      <c r="E666" s="10"/>
    </row>
    <row r="667" spans="5:5" ht="16" x14ac:dyDescent="0.2">
      <c r="E667" s="10"/>
    </row>
    <row r="668" spans="5:5" ht="16" x14ac:dyDescent="0.2">
      <c r="E668" s="10"/>
    </row>
    <row r="669" spans="5:5" ht="16" x14ac:dyDescent="0.2">
      <c r="E669" s="10"/>
    </row>
    <row r="670" spans="5:5" ht="16" x14ac:dyDescent="0.2">
      <c r="E670" s="10"/>
    </row>
    <row r="671" spans="5:5" ht="16" x14ac:dyDescent="0.2">
      <c r="E671" s="10"/>
    </row>
    <row r="672" spans="5:5" ht="16" x14ac:dyDescent="0.2">
      <c r="E672" s="10"/>
    </row>
    <row r="673" spans="5:5" ht="16" x14ac:dyDescent="0.2">
      <c r="E673" s="10"/>
    </row>
    <row r="674" spans="5:5" ht="16" x14ac:dyDescent="0.2">
      <c r="E674" s="10"/>
    </row>
    <row r="675" spans="5:5" ht="16" x14ac:dyDescent="0.2">
      <c r="E675" s="10"/>
    </row>
    <row r="676" spans="5:5" ht="16" x14ac:dyDescent="0.2">
      <c r="E676" s="10"/>
    </row>
    <row r="677" spans="5:5" ht="16" x14ac:dyDescent="0.2">
      <c r="E677" s="10"/>
    </row>
    <row r="678" spans="5:5" ht="16" x14ac:dyDescent="0.2">
      <c r="E678" s="10"/>
    </row>
    <row r="679" spans="5:5" ht="16" x14ac:dyDescent="0.2">
      <c r="E679" s="10"/>
    </row>
    <row r="680" spans="5:5" ht="16" x14ac:dyDescent="0.2">
      <c r="E680" s="10"/>
    </row>
    <row r="681" spans="5:5" ht="16" x14ac:dyDescent="0.2">
      <c r="E681" s="10"/>
    </row>
    <row r="682" spans="5:5" ht="16" x14ac:dyDescent="0.2">
      <c r="E682" s="10"/>
    </row>
    <row r="683" spans="5:5" ht="16" x14ac:dyDescent="0.2">
      <c r="E683" s="10"/>
    </row>
    <row r="684" spans="5:5" ht="16" x14ac:dyDescent="0.2">
      <c r="E684" s="10"/>
    </row>
    <row r="685" spans="5:5" ht="16" x14ac:dyDescent="0.2">
      <c r="E685" s="10"/>
    </row>
    <row r="686" spans="5:5" ht="16" x14ac:dyDescent="0.2">
      <c r="E686" s="10"/>
    </row>
    <row r="687" spans="5:5" ht="16" x14ac:dyDescent="0.2">
      <c r="E687" s="10"/>
    </row>
    <row r="688" spans="5:5" ht="16" x14ac:dyDescent="0.2">
      <c r="E688" s="10"/>
    </row>
    <row r="689" spans="5:5" ht="16" x14ac:dyDescent="0.2">
      <c r="E689" s="10"/>
    </row>
    <row r="690" spans="5:5" ht="16" x14ac:dyDescent="0.2">
      <c r="E690" s="10"/>
    </row>
    <row r="691" spans="5:5" ht="16" x14ac:dyDescent="0.2">
      <c r="E691" s="10"/>
    </row>
    <row r="692" spans="5:5" ht="16" x14ac:dyDescent="0.2">
      <c r="E692" s="10"/>
    </row>
    <row r="693" spans="5:5" ht="16" x14ac:dyDescent="0.2">
      <c r="E693" s="10"/>
    </row>
    <row r="694" spans="5:5" ht="16" x14ac:dyDescent="0.2">
      <c r="E694" s="10"/>
    </row>
    <row r="695" spans="5:5" ht="16" x14ac:dyDescent="0.2">
      <c r="E695" s="10"/>
    </row>
    <row r="696" spans="5:5" ht="16" x14ac:dyDescent="0.2">
      <c r="E696" s="10"/>
    </row>
    <row r="697" spans="5:5" ht="16" x14ac:dyDescent="0.2">
      <c r="E697" s="10"/>
    </row>
    <row r="698" spans="5:5" ht="16" x14ac:dyDescent="0.2">
      <c r="E698" s="10"/>
    </row>
    <row r="699" spans="5:5" ht="16" x14ac:dyDescent="0.2">
      <c r="E699" s="10"/>
    </row>
    <row r="700" spans="5:5" ht="16" x14ac:dyDescent="0.2">
      <c r="E700" s="10"/>
    </row>
    <row r="701" spans="5:5" ht="16" x14ac:dyDescent="0.2">
      <c r="E701" s="10"/>
    </row>
    <row r="702" spans="5:5" ht="16" x14ac:dyDescent="0.2">
      <c r="E702" s="10"/>
    </row>
    <row r="703" spans="5:5" ht="16" x14ac:dyDescent="0.2">
      <c r="E703" s="10"/>
    </row>
    <row r="704" spans="5:5" ht="16" x14ac:dyDescent="0.2">
      <c r="E704" s="10"/>
    </row>
    <row r="705" spans="5:5" ht="16" x14ac:dyDescent="0.2">
      <c r="E705" s="10"/>
    </row>
    <row r="706" spans="5:5" ht="16" x14ac:dyDescent="0.2">
      <c r="E706" s="10"/>
    </row>
    <row r="707" spans="5:5" ht="16" x14ac:dyDescent="0.2">
      <c r="E707" s="10"/>
    </row>
    <row r="708" spans="5:5" ht="16" x14ac:dyDescent="0.2">
      <c r="E708" s="10"/>
    </row>
    <row r="709" spans="5:5" ht="16" x14ac:dyDescent="0.2">
      <c r="E709" s="10"/>
    </row>
    <row r="710" spans="5:5" ht="16" x14ac:dyDescent="0.2">
      <c r="E710" s="10"/>
    </row>
    <row r="711" spans="5:5" ht="16" x14ac:dyDescent="0.2">
      <c r="E711" s="10"/>
    </row>
    <row r="712" spans="5:5" ht="16" x14ac:dyDescent="0.2">
      <c r="E712" s="10"/>
    </row>
    <row r="713" spans="5:5" ht="16" x14ac:dyDescent="0.2">
      <c r="E713" s="10"/>
    </row>
    <row r="714" spans="5:5" ht="16" x14ac:dyDescent="0.2">
      <c r="E714" s="10"/>
    </row>
    <row r="715" spans="5:5" ht="16" x14ac:dyDescent="0.2">
      <c r="E715" s="10"/>
    </row>
    <row r="716" spans="5:5" ht="16" x14ac:dyDescent="0.2">
      <c r="E716" s="10"/>
    </row>
    <row r="717" spans="5:5" ht="16" x14ac:dyDescent="0.2">
      <c r="E717" s="10"/>
    </row>
    <row r="718" spans="5:5" ht="16" x14ac:dyDescent="0.2">
      <c r="E718" s="10"/>
    </row>
    <row r="719" spans="5:5" ht="16" x14ac:dyDescent="0.2">
      <c r="E719" s="10"/>
    </row>
    <row r="720" spans="5:5" ht="16" x14ac:dyDescent="0.2">
      <c r="E720" s="10"/>
    </row>
    <row r="721" spans="5:5" ht="16" x14ac:dyDescent="0.2">
      <c r="E721" s="10"/>
    </row>
    <row r="722" spans="5:5" ht="16" x14ac:dyDescent="0.2">
      <c r="E722" s="10"/>
    </row>
    <row r="723" spans="5:5" ht="16" x14ac:dyDescent="0.2">
      <c r="E723" s="10"/>
    </row>
    <row r="724" spans="5:5" ht="16" x14ac:dyDescent="0.2">
      <c r="E724" s="10"/>
    </row>
    <row r="725" spans="5:5" ht="16" x14ac:dyDescent="0.2">
      <c r="E725" s="10"/>
    </row>
    <row r="726" spans="5:5" ht="16" x14ac:dyDescent="0.2">
      <c r="E726" s="10"/>
    </row>
    <row r="727" spans="5:5" ht="16" x14ac:dyDescent="0.2">
      <c r="E727" s="10"/>
    </row>
    <row r="728" spans="5:5" ht="16" x14ac:dyDescent="0.2">
      <c r="E728" s="10"/>
    </row>
    <row r="729" spans="5:5" ht="16" x14ac:dyDescent="0.2">
      <c r="E729" s="10"/>
    </row>
    <row r="730" spans="5:5" ht="16" x14ac:dyDescent="0.2">
      <c r="E730" s="10"/>
    </row>
    <row r="731" spans="5:5" ht="16" x14ac:dyDescent="0.2">
      <c r="E731" s="10"/>
    </row>
    <row r="732" spans="5:5" ht="16" x14ac:dyDescent="0.2">
      <c r="E732" s="10"/>
    </row>
    <row r="733" spans="5:5" ht="16" x14ac:dyDescent="0.2">
      <c r="E733" s="10"/>
    </row>
    <row r="734" spans="5:5" ht="16" x14ac:dyDescent="0.2">
      <c r="E734" s="10"/>
    </row>
    <row r="735" spans="5:5" ht="16" x14ac:dyDescent="0.2">
      <c r="E735" s="10"/>
    </row>
    <row r="736" spans="5:5" ht="16" x14ac:dyDescent="0.2">
      <c r="E736" s="10"/>
    </row>
    <row r="737" spans="5:5" ht="16" x14ac:dyDescent="0.2">
      <c r="E737" s="10"/>
    </row>
    <row r="738" spans="5:5" ht="16" x14ac:dyDescent="0.2">
      <c r="E738" s="10"/>
    </row>
    <row r="739" spans="5:5" ht="16" x14ac:dyDescent="0.2">
      <c r="E739" s="10"/>
    </row>
    <row r="740" spans="5:5" ht="16" x14ac:dyDescent="0.2">
      <c r="E740" s="10"/>
    </row>
    <row r="741" spans="5:5" ht="16" x14ac:dyDescent="0.2">
      <c r="E741" s="10"/>
    </row>
    <row r="742" spans="5:5" ht="16" x14ac:dyDescent="0.2">
      <c r="E742" s="10"/>
    </row>
    <row r="743" spans="5:5" ht="16" x14ac:dyDescent="0.2">
      <c r="E743" s="10"/>
    </row>
    <row r="744" spans="5:5" ht="16" x14ac:dyDescent="0.2">
      <c r="E744" s="10"/>
    </row>
    <row r="745" spans="5:5" ht="16" x14ac:dyDescent="0.2">
      <c r="E745" s="10"/>
    </row>
    <row r="746" spans="5:5" ht="16" x14ac:dyDescent="0.2">
      <c r="E746" s="10"/>
    </row>
    <row r="747" spans="5:5" ht="16" x14ac:dyDescent="0.2">
      <c r="E747" s="10"/>
    </row>
    <row r="748" spans="5:5" ht="16" x14ac:dyDescent="0.2">
      <c r="E748" s="10"/>
    </row>
    <row r="749" spans="5:5" ht="16" x14ac:dyDescent="0.2">
      <c r="E749" s="10"/>
    </row>
    <row r="750" spans="5:5" ht="16" x14ac:dyDescent="0.2">
      <c r="E750" s="10"/>
    </row>
    <row r="751" spans="5:5" ht="16" x14ac:dyDescent="0.2">
      <c r="E751" s="10"/>
    </row>
    <row r="752" spans="5:5" ht="16" x14ac:dyDescent="0.2">
      <c r="E752" s="10"/>
    </row>
    <row r="753" spans="5:5" ht="16" x14ac:dyDescent="0.2">
      <c r="E753" s="10"/>
    </row>
    <row r="754" spans="5:5" ht="16" x14ac:dyDescent="0.2">
      <c r="E754" s="10"/>
    </row>
    <row r="755" spans="5:5" ht="16" x14ac:dyDescent="0.2">
      <c r="E755" s="10"/>
    </row>
    <row r="756" spans="5:5" ht="16" x14ac:dyDescent="0.2">
      <c r="E756" s="10"/>
    </row>
    <row r="757" spans="5:5" ht="16" x14ac:dyDescent="0.2">
      <c r="E757" s="10"/>
    </row>
    <row r="758" spans="5:5" ht="16" x14ac:dyDescent="0.2">
      <c r="E758" s="10"/>
    </row>
    <row r="759" spans="5:5" ht="16" x14ac:dyDescent="0.2">
      <c r="E759" s="10"/>
    </row>
    <row r="760" spans="5:5" ht="16" x14ac:dyDescent="0.2">
      <c r="E760" s="10"/>
    </row>
    <row r="761" spans="5:5" ht="16" x14ac:dyDescent="0.2">
      <c r="E761" s="10"/>
    </row>
    <row r="762" spans="5:5" ht="16" x14ac:dyDescent="0.2">
      <c r="E762" s="10"/>
    </row>
    <row r="763" spans="5:5" ht="16" x14ac:dyDescent="0.2">
      <c r="E763" s="10"/>
    </row>
    <row r="764" spans="5:5" ht="16" x14ac:dyDescent="0.2">
      <c r="E764" s="10"/>
    </row>
    <row r="765" spans="5:5" ht="16" x14ac:dyDescent="0.2">
      <c r="E765" s="10"/>
    </row>
    <row r="766" spans="5:5" ht="16" x14ac:dyDescent="0.2">
      <c r="E766" s="10"/>
    </row>
    <row r="767" spans="5:5" ht="16" x14ac:dyDescent="0.2">
      <c r="E767" s="10"/>
    </row>
    <row r="768" spans="5:5" ht="16" x14ac:dyDescent="0.2">
      <c r="E768" s="10"/>
    </row>
    <row r="769" spans="5:5" ht="16" x14ac:dyDescent="0.2">
      <c r="E769" s="10"/>
    </row>
    <row r="770" spans="5:5" ht="16" x14ac:dyDescent="0.2">
      <c r="E770" s="10"/>
    </row>
    <row r="771" spans="5:5" ht="16" x14ac:dyDescent="0.2">
      <c r="E771" s="10"/>
    </row>
    <row r="772" spans="5:5" ht="16" x14ac:dyDescent="0.2">
      <c r="E772" s="10"/>
    </row>
    <row r="773" spans="5:5" ht="16" x14ac:dyDescent="0.2">
      <c r="E773" s="10"/>
    </row>
    <row r="774" spans="5:5" ht="16" x14ac:dyDescent="0.2">
      <c r="E774" s="10"/>
    </row>
    <row r="775" spans="5:5" ht="16" x14ac:dyDescent="0.2">
      <c r="E775" s="10"/>
    </row>
    <row r="776" spans="5:5" ht="16" x14ac:dyDescent="0.2">
      <c r="E776" s="10"/>
    </row>
    <row r="777" spans="5:5" ht="16" x14ac:dyDescent="0.2">
      <c r="E777" s="10"/>
    </row>
    <row r="778" spans="5:5" ht="16" x14ac:dyDescent="0.2">
      <c r="E778" s="10"/>
    </row>
    <row r="779" spans="5:5" ht="16" x14ac:dyDescent="0.2">
      <c r="E779" s="10"/>
    </row>
    <row r="780" spans="5:5" ht="16" x14ac:dyDescent="0.2">
      <c r="E780" s="10"/>
    </row>
    <row r="781" spans="5:5" ht="16" x14ac:dyDescent="0.2">
      <c r="E781" s="10"/>
    </row>
    <row r="782" spans="5:5" ht="16" x14ac:dyDescent="0.2">
      <c r="E782" s="10"/>
    </row>
    <row r="783" spans="5:5" ht="16" x14ac:dyDescent="0.2">
      <c r="E783" s="10"/>
    </row>
    <row r="784" spans="5:5" ht="16" x14ac:dyDescent="0.2">
      <c r="E784" s="10"/>
    </row>
    <row r="785" spans="5:5" ht="16" x14ac:dyDescent="0.2">
      <c r="E785" s="10"/>
    </row>
    <row r="786" spans="5:5" ht="16" x14ac:dyDescent="0.2">
      <c r="E786" s="10"/>
    </row>
    <row r="787" spans="5:5" ht="16" x14ac:dyDescent="0.2">
      <c r="E787" s="10"/>
    </row>
    <row r="788" spans="5:5" ht="16" x14ac:dyDescent="0.2">
      <c r="E788" s="10"/>
    </row>
    <row r="789" spans="5:5" ht="16" x14ac:dyDescent="0.2">
      <c r="E789" s="10"/>
    </row>
    <row r="790" spans="5:5" ht="16" x14ac:dyDescent="0.2">
      <c r="E790" s="10"/>
    </row>
    <row r="791" spans="5:5" ht="16" x14ac:dyDescent="0.2">
      <c r="E791" s="10"/>
    </row>
    <row r="792" spans="5:5" ht="16" x14ac:dyDescent="0.2">
      <c r="E792" s="10"/>
    </row>
    <row r="793" spans="5:5" ht="16" x14ac:dyDescent="0.2">
      <c r="E793" s="10"/>
    </row>
    <row r="794" spans="5:5" ht="16" x14ac:dyDescent="0.2">
      <c r="E794" s="10"/>
    </row>
    <row r="795" spans="5:5" ht="16" x14ac:dyDescent="0.2">
      <c r="E795" s="10"/>
    </row>
    <row r="796" spans="5:5" ht="16" x14ac:dyDescent="0.2">
      <c r="E796" s="10"/>
    </row>
    <row r="797" spans="5:5" ht="16" x14ac:dyDescent="0.2">
      <c r="E797" s="10"/>
    </row>
    <row r="798" spans="5:5" ht="16" x14ac:dyDescent="0.2">
      <c r="E798" s="10"/>
    </row>
    <row r="799" spans="5:5" ht="16" x14ac:dyDescent="0.2">
      <c r="E799" s="10"/>
    </row>
    <row r="800" spans="5:5" ht="16" x14ac:dyDescent="0.2">
      <c r="E800" s="10"/>
    </row>
    <row r="801" spans="5:5" ht="16" x14ac:dyDescent="0.2">
      <c r="E801" s="10"/>
    </row>
    <row r="802" spans="5:5" ht="16" x14ac:dyDescent="0.2">
      <c r="E802" s="10"/>
    </row>
    <row r="803" spans="5:5" ht="16" x14ac:dyDescent="0.2">
      <c r="E803" s="10"/>
    </row>
    <row r="804" spans="5:5" ht="16" x14ac:dyDescent="0.2">
      <c r="E804" s="10"/>
    </row>
    <row r="805" spans="5:5" ht="16" x14ac:dyDescent="0.2">
      <c r="E805" s="10"/>
    </row>
    <row r="806" spans="5:5" ht="16" x14ac:dyDescent="0.2">
      <c r="E806" s="10"/>
    </row>
    <row r="807" spans="5:5" ht="16" x14ac:dyDescent="0.2">
      <c r="E807" s="10"/>
    </row>
    <row r="808" spans="5:5" ht="16" x14ac:dyDescent="0.2">
      <c r="E808" s="10"/>
    </row>
    <row r="809" spans="5:5" ht="16" x14ac:dyDescent="0.2">
      <c r="E809" s="10"/>
    </row>
    <row r="810" spans="5:5" ht="16" x14ac:dyDescent="0.2">
      <c r="E810" s="10"/>
    </row>
    <row r="811" spans="5:5" ht="16" x14ac:dyDescent="0.2">
      <c r="E811" s="10"/>
    </row>
    <row r="812" spans="5:5" ht="16" x14ac:dyDescent="0.2">
      <c r="E812" s="10"/>
    </row>
    <row r="813" spans="5:5" ht="16" x14ac:dyDescent="0.2">
      <c r="E813" s="10"/>
    </row>
    <row r="814" spans="5:5" ht="16" x14ac:dyDescent="0.2">
      <c r="E814" s="10"/>
    </row>
    <row r="815" spans="5:5" ht="16" x14ac:dyDescent="0.2">
      <c r="E815" s="10"/>
    </row>
    <row r="816" spans="5:5" ht="16" x14ac:dyDescent="0.2">
      <c r="E816" s="10"/>
    </row>
    <row r="817" spans="5:5" ht="16" x14ac:dyDescent="0.2">
      <c r="E817" s="10"/>
    </row>
    <row r="818" spans="5:5" ht="16" x14ac:dyDescent="0.2">
      <c r="E818" s="10"/>
    </row>
    <row r="819" spans="5:5" ht="16" x14ac:dyDescent="0.2">
      <c r="E819" s="10"/>
    </row>
    <row r="820" spans="5:5" ht="16" x14ac:dyDescent="0.2">
      <c r="E820" s="10"/>
    </row>
    <row r="821" spans="5:5" ht="16" x14ac:dyDescent="0.2">
      <c r="E821" s="10"/>
    </row>
    <row r="822" spans="5:5" ht="16" x14ac:dyDescent="0.2">
      <c r="E822" s="10"/>
    </row>
    <row r="823" spans="5:5" ht="16" x14ac:dyDescent="0.2">
      <c r="E823" s="10"/>
    </row>
    <row r="824" spans="5:5" ht="16" x14ac:dyDescent="0.2">
      <c r="E824" s="10"/>
    </row>
    <row r="825" spans="5:5" ht="16" x14ac:dyDescent="0.2">
      <c r="E825" s="10"/>
    </row>
    <row r="826" spans="5:5" ht="16" x14ac:dyDescent="0.2">
      <c r="E826" s="10"/>
    </row>
    <row r="827" spans="5:5" ht="16" x14ac:dyDescent="0.2">
      <c r="E827" s="10"/>
    </row>
    <row r="828" spans="5:5" ht="16" x14ac:dyDescent="0.2">
      <c r="E828" s="10"/>
    </row>
    <row r="829" spans="5:5" ht="16" x14ac:dyDescent="0.2">
      <c r="E829" s="10"/>
    </row>
    <row r="830" spans="5:5" ht="16" x14ac:dyDescent="0.2">
      <c r="E830" s="10"/>
    </row>
    <row r="831" spans="5:5" ht="16" x14ac:dyDescent="0.2">
      <c r="E831" s="10"/>
    </row>
    <row r="832" spans="5:5" ht="16" x14ac:dyDescent="0.2">
      <c r="E832" s="10"/>
    </row>
    <row r="833" spans="5:5" ht="16" x14ac:dyDescent="0.2">
      <c r="E833" s="10"/>
    </row>
    <row r="834" spans="5:5" ht="16" x14ac:dyDescent="0.2">
      <c r="E834" s="10"/>
    </row>
    <row r="835" spans="5:5" ht="16" x14ac:dyDescent="0.2">
      <c r="E835" s="10"/>
    </row>
    <row r="836" spans="5:5" ht="16" x14ac:dyDescent="0.2">
      <c r="E836" s="10"/>
    </row>
    <row r="837" spans="5:5" ht="16" x14ac:dyDescent="0.2">
      <c r="E837" s="10"/>
    </row>
    <row r="838" spans="5:5" ht="16" x14ac:dyDescent="0.2">
      <c r="E838" s="10"/>
    </row>
    <row r="839" spans="5:5" ht="16" x14ac:dyDescent="0.2">
      <c r="E839" s="10"/>
    </row>
    <row r="840" spans="5:5" ht="16" x14ac:dyDescent="0.2">
      <c r="E840" s="10"/>
    </row>
    <row r="841" spans="5:5" ht="16" x14ac:dyDescent="0.2">
      <c r="E841" s="10"/>
    </row>
    <row r="842" spans="5:5" ht="16" x14ac:dyDescent="0.2">
      <c r="E842" s="10"/>
    </row>
    <row r="843" spans="5:5" ht="16" x14ac:dyDescent="0.2">
      <c r="E843" s="10"/>
    </row>
    <row r="844" spans="5:5" ht="16" x14ac:dyDescent="0.2">
      <c r="E844" s="10"/>
    </row>
    <row r="845" spans="5:5" ht="16" x14ac:dyDescent="0.2">
      <c r="E845" s="10"/>
    </row>
    <row r="846" spans="5:5" ht="16" x14ac:dyDescent="0.2">
      <c r="E846" s="10"/>
    </row>
    <row r="847" spans="5:5" ht="16" x14ac:dyDescent="0.2">
      <c r="E847" s="10"/>
    </row>
    <row r="848" spans="5:5" ht="16" x14ac:dyDescent="0.2">
      <c r="E848" s="10"/>
    </row>
    <row r="849" spans="5:5" ht="16" x14ac:dyDescent="0.2">
      <c r="E849" s="10"/>
    </row>
    <row r="850" spans="5:5" ht="16" x14ac:dyDescent="0.2">
      <c r="E850" s="10"/>
    </row>
    <row r="851" spans="5:5" ht="16" x14ac:dyDescent="0.2">
      <c r="E851" s="10"/>
    </row>
    <row r="852" spans="5:5" ht="16" x14ac:dyDescent="0.2">
      <c r="E852" s="10"/>
    </row>
    <row r="853" spans="5:5" ht="16" x14ac:dyDescent="0.2">
      <c r="E853" s="10"/>
    </row>
    <row r="854" spans="5:5" ht="16" x14ac:dyDescent="0.2">
      <c r="E854" s="10"/>
    </row>
    <row r="855" spans="5:5" ht="16" x14ac:dyDescent="0.2">
      <c r="E855" s="10"/>
    </row>
    <row r="856" spans="5:5" ht="16" x14ac:dyDescent="0.2">
      <c r="E856" s="10"/>
    </row>
    <row r="857" spans="5:5" ht="16" x14ac:dyDescent="0.2">
      <c r="E857" s="10"/>
    </row>
    <row r="858" spans="5:5" ht="16" x14ac:dyDescent="0.2">
      <c r="E858" s="10"/>
    </row>
    <row r="859" spans="5:5" ht="16" x14ac:dyDescent="0.2">
      <c r="E859" s="10"/>
    </row>
    <row r="860" spans="5:5" ht="16" x14ac:dyDescent="0.2">
      <c r="E860" s="10"/>
    </row>
    <row r="861" spans="5:5" ht="16" x14ac:dyDescent="0.2">
      <c r="E861" s="10"/>
    </row>
    <row r="862" spans="5:5" ht="16" x14ac:dyDescent="0.2">
      <c r="E862" s="10"/>
    </row>
    <row r="863" spans="5:5" ht="16" x14ac:dyDescent="0.2">
      <c r="E863" s="10"/>
    </row>
    <row r="864" spans="5:5" ht="16" x14ac:dyDescent="0.2">
      <c r="E864" s="10"/>
    </row>
    <row r="865" spans="5:5" ht="16" x14ac:dyDescent="0.2">
      <c r="E865" s="10"/>
    </row>
    <row r="866" spans="5:5" ht="16" x14ac:dyDescent="0.2">
      <c r="E866" s="10"/>
    </row>
    <row r="867" spans="5:5" ht="16" x14ac:dyDescent="0.2">
      <c r="E867" s="10"/>
    </row>
    <row r="868" spans="5:5" ht="16" x14ac:dyDescent="0.2">
      <c r="E868" s="10"/>
    </row>
    <row r="869" spans="5:5" ht="16" x14ac:dyDescent="0.2">
      <c r="E869" s="10"/>
    </row>
    <row r="870" spans="5:5" ht="16" x14ac:dyDescent="0.2">
      <c r="E870" s="10"/>
    </row>
    <row r="871" spans="5:5" ht="16" x14ac:dyDescent="0.2">
      <c r="E871" s="10"/>
    </row>
    <row r="872" spans="5:5" ht="16" x14ac:dyDescent="0.2">
      <c r="E872" s="10"/>
    </row>
    <row r="873" spans="5:5" ht="16" x14ac:dyDescent="0.2">
      <c r="E873" s="10"/>
    </row>
    <row r="874" spans="5:5" ht="16" x14ac:dyDescent="0.2">
      <c r="E874" s="10"/>
    </row>
    <row r="875" spans="5:5" ht="16" x14ac:dyDescent="0.2">
      <c r="E875" s="10"/>
    </row>
    <row r="876" spans="5:5" ht="16" x14ac:dyDescent="0.2">
      <c r="E876" s="10"/>
    </row>
    <row r="877" spans="5:5" ht="16" x14ac:dyDescent="0.2">
      <c r="E877" s="10"/>
    </row>
    <row r="878" spans="5:5" ht="16" x14ac:dyDescent="0.2">
      <c r="E878" s="10"/>
    </row>
    <row r="879" spans="5:5" ht="16" x14ac:dyDescent="0.2">
      <c r="E879" s="10"/>
    </row>
    <row r="880" spans="5:5" ht="16" x14ac:dyDescent="0.2">
      <c r="E880" s="10"/>
    </row>
    <row r="881" spans="5:5" ht="16" x14ac:dyDescent="0.2">
      <c r="E881" s="10"/>
    </row>
    <row r="882" spans="5:5" ht="16" x14ac:dyDescent="0.2">
      <c r="E882" s="10"/>
    </row>
    <row r="883" spans="5:5" ht="16" x14ac:dyDescent="0.2">
      <c r="E883" s="10"/>
    </row>
    <row r="884" spans="5:5" ht="16" x14ac:dyDescent="0.2">
      <c r="E884" s="10"/>
    </row>
    <row r="885" spans="5:5" ht="16" x14ac:dyDescent="0.2">
      <c r="E885" s="10"/>
    </row>
    <row r="886" spans="5:5" ht="16" x14ac:dyDescent="0.2">
      <c r="E886" s="10"/>
    </row>
    <row r="887" spans="5:5" ht="16" x14ac:dyDescent="0.2">
      <c r="E887" s="10"/>
    </row>
    <row r="888" spans="5:5" ht="16" x14ac:dyDescent="0.2">
      <c r="E888" s="10"/>
    </row>
    <row r="889" spans="5:5" ht="16" x14ac:dyDescent="0.2">
      <c r="E889" s="10"/>
    </row>
    <row r="890" spans="5:5" ht="16" x14ac:dyDescent="0.2">
      <c r="E890" s="10"/>
    </row>
    <row r="891" spans="5:5" ht="16" x14ac:dyDescent="0.2">
      <c r="E891" s="10"/>
    </row>
    <row r="892" spans="5:5" ht="16" x14ac:dyDescent="0.2">
      <c r="E892" s="10"/>
    </row>
    <row r="893" spans="5:5" ht="16" x14ac:dyDescent="0.2">
      <c r="E893" s="10"/>
    </row>
    <row r="894" spans="5:5" ht="16" x14ac:dyDescent="0.2">
      <c r="E894" s="10"/>
    </row>
    <row r="895" spans="5:5" ht="16" x14ac:dyDescent="0.2">
      <c r="E895" s="10"/>
    </row>
    <row r="896" spans="5:5" ht="16" x14ac:dyDescent="0.2">
      <c r="E896" s="10"/>
    </row>
    <row r="897" spans="5:5" ht="16" x14ac:dyDescent="0.2">
      <c r="E897" s="10"/>
    </row>
    <row r="898" spans="5:5" ht="16" x14ac:dyDescent="0.2">
      <c r="E898" s="10"/>
    </row>
    <row r="899" spans="5:5" ht="16" x14ac:dyDescent="0.2">
      <c r="E899" s="10"/>
    </row>
    <row r="900" spans="5:5" ht="16" x14ac:dyDescent="0.2">
      <c r="E900" s="10"/>
    </row>
    <row r="901" spans="5:5" ht="16" x14ac:dyDescent="0.2">
      <c r="E901" s="10"/>
    </row>
    <row r="902" spans="5:5" ht="16" x14ac:dyDescent="0.2">
      <c r="E902" s="10"/>
    </row>
    <row r="903" spans="5:5" ht="16" x14ac:dyDescent="0.2">
      <c r="E903" s="10"/>
    </row>
    <row r="904" spans="5:5" ht="16" x14ac:dyDescent="0.2">
      <c r="E904" s="10"/>
    </row>
    <row r="905" spans="5:5" ht="16" x14ac:dyDescent="0.2">
      <c r="E905" s="10"/>
    </row>
    <row r="906" spans="5:5" ht="16" x14ac:dyDescent="0.2">
      <c r="E906" s="10"/>
    </row>
    <row r="907" spans="5:5" ht="16" x14ac:dyDescent="0.2">
      <c r="E907" s="10"/>
    </row>
    <row r="908" spans="5:5" ht="16" x14ac:dyDescent="0.2">
      <c r="E908" s="10"/>
    </row>
    <row r="909" spans="5:5" ht="16" x14ac:dyDescent="0.2">
      <c r="E909" s="10"/>
    </row>
    <row r="910" spans="5:5" ht="16" x14ac:dyDescent="0.2">
      <c r="E910" s="10"/>
    </row>
    <row r="911" spans="5:5" ht="16" x14ac:dyDescent="0.2">
      <c r="E911" s="10"/>
    </row>
    <row r="912" spans="5:5" ht="16" x14ac:dyDescent="0.2">
      <c r="E912" s="10"/>
    </row>
    <row r="913" spans="5:5" ht="16" x14ac:dyDescent="0.2">
      <c r="E913" s="10"/>
    </row>
    <row r="914" spans="5:5" ht="16" x14ac:dyDescent="0.2">
      <c r="E914" s="10"/>
    </row>
    <row r="915" spans="5:5" ht="16" x14ac:dyDescent="0.2">
      <c r="E915" s="10"/>
    </row>
    <row r="916" spans="5:5" ht="16" x14ac:dyDescent="0.2">
      <c r="E916" s="10"/>
    </row>
    <row r="917" spans="5:5" ht="16" x14ac:dyDescent="0.2">
      <c r="E917" s="10"/>
    </row>
    <row r="918" spans="5:5" ht="16" x14ac:dyDescent="0.2">
      <c r="E918" s="10"/>
    </row>
    <row r="919" spans="5:5" ht="16" x14ac:dyDescent="0.2">
      <c r="E919" s="10"/>
    </row>
    <row r="920" spans="5:5" ht="16" x14ac:dyDescent="0.2">
      <c r="E920" s="10"/>
    </row>
    <row r="921" spans="5:5" ht="16" x14ac:dyDescent="0.2">
      <c r="E921" s="10"/>
    </row>
    <row r="922" spans="5:5" ht="16" x14ac:dyDescent="0.2">
      <c r="E922" s="10"/>
    </row>
    <row r="923" spans="5:5" ht="16" x14ac:dyDescent="0.2">
      <c r="E923" s="10"/>
    </row>
    <row r="924" spans="5:5" ht="16" x14ac:dyDescent="0.2">
      <c r="E924" s="10"/>
    </row>
    <row r="925" spans="5:5" ht="16" x14ac:dyDescent="0.2">
      <c r="E925" s="10"/>
    </row>
    <row r="926" spans="5:5" ht="16" x14ac:dyDescent="0.2">
      <c r="E926" s="10"/>
    </row>
    <row r="927" spans="5:5" ht="16" x14ac:dyDescent="0.2">
      <c r="E927" s="10"/>
    </row>
    <row r="928" spans="5:5" ht="16" x14ac:dyDescent="0.2">
      <c r="E928" s="10"/>
    </row>
    <row r="929" spans="5:5" ht="16" x14ac:dyDescent="0.2">
      <c r="E929" s="10"/>
    </row>
    <row r="930" spans="5:5" ht="16" x14ac:dyDescent="0.2">
      <c r="E930" s="10"/>
    </row>
    <row r="931" spans="5:5" ht="16" x14ac:dyDescent="0.2">
      <c r="E931" s="10"/>
    </row>
    <row r="932" spans="5:5" ht="16" x14ac:dyDescent="0.2">
      <c r="E932" s="10"/>
    </row>
    <row r="933" spans="5:5" ht="16" x14ac:dyDescent="0.2">
      <c r="E933" s="10"/>
    </row>
    <row r="934" spans="5:5" ht="16" x14ac:dyDescent="0.2">
      <c r="E934" s="10"/>
    </row>
    <row r="935" spans="5:5" ht="16" x14ac:dyDescent="0.2">
      <c r="E935" s="10"/>
    </row>
    <row r="936" spans="5:5" ht="16" x14ac:dyDescent="0.2">
      <c r="E936" s="10"/>
    </row>
    <row r="937" spans="5:5" ht="16" x14ac:dyDescent="0.2">
      <c r="E937" s="10"/>
    </row>
    <row r="938" spans="5:5" ht="16" x14ac:dyDescent="0.2">
      <c r="E938" s="10"/>
    </row>
    <row r="939" spans="5:5" ht="16" x14ac:dyDescent="0.2">
      <c r="E939" s="10"/>
    </row>
    <row r="940" spans="5:5" ht="16" x14ac:dyDescent="0.2">
      <c r="E940" s="10"/>
    </row>
    <row r="941" spans="5:5" ht="16" x14ac:dyDescent="0.2">
      <c r="E941" s="10"/>
    </row>
    <row r="942" spans="5:5" ht="16" x14ac:dyDescent="0.2">
      <c r="E942" s="10"/>
    </row>
    <row r="943" spans="5:5" ht="16" x14ac:dyDescent="0.2">
      <c r="E943" s="10"/>
    </row>
    <row r="944" spans="5:5" ht="16" x14ac:dyDescent="0.2">
      <c r="E944" s="10"/>
    </row>
    <row r="945" spans="5:5" ht="16" x14ac:dyDescent="0.2">
      <c r="E945" s="10"/>
    </row>
    <row r="946" spans="5:5" ht="16" x14ac:dyDescent="0.2">
      <c r="E946" s="10"/>
    </row>
    <row r="947" spans="5:5" ht="16" x14ac:dyDescent="0.2">
      <c r="E947" s="10"/>
    </row>
    <row r="948" spans="5:5" ht="16" x14ac:dyDescent="0.2">
      <c r="E948" s="10"/>
    </row>
    <row r="949" spans="5:5" ht="16" x14ac:dyDescent="0.2">
      <c r="E949" s="10"/>
    </row>
    <row r="950" spans="5:5" ht="16" x14ac:dyDescent="0.2">
      <c r="E950" s="10"/>
    </row>
    <row r="951" spans="5:5" ht="16" x14ac:dyDescent="0.2">
      <c r="E951" s="10"/>
    </row>
    <row r="952" spans="5:5" ht="16" x14ac:dyDescent="0.2">
      <c r="E952" s="10"/>
    </row>
    <row r="953" spans="5:5" ht="16" x14ac:dyDescent="0.2">
      <c r="E953" s="10"/>
    </row>
    <row r="954" spans="5:5" ht="16" x14ac:dyDescent="0.2">
      <c r="E954" s="10"/>
    </row>
    <row r="955" spans="5:5" ht="16" x14ac:dyDescent="0.2">
      <c r="E955" s="10"/>
    </row>
    <row r="956" spans="5:5" ht="16" x14ac:dyDescent="0.2">
      <c r="E956" s="10"/>
    </row>
    <row r="957" spans="5:5" ht="16" x14ac:dyDescent="0.2">
      <c r="E957" s="10"/>
    </row>
    <row r="958" spans="5:5" ht="16" x14ac:dyDescent="0.2">
      <c r="E958" s="10"/>
    </row>
    <row r="959" spans="5:5" ht="16" x14ac:dyDescent="0.2">
      <c r="E959" s="10"/>
    </row>
    <row r="960" spans="5:5" ht="16" x14ac:dyDescent="0.2">
      <c r="E960" s="10"/>
    </row>
    <row r="961" spans="5:5" ht="16" x14ac:dyDescent="0.2">
      <c r="E961" s="10"/>
    </row>
    <row r="962" spans="5:5" ht="16" x14ac:dyDescent="0.2">
      <c r="E962" s="10"/>
    </row>
    <row r="963" spans="5:5" ht="16" x14ac:dyDescent="0.2">
      <c r="E963" s="10"/>
    </row>
    <row r="964" spans="5:5" ht="16" x14ac:dyDescent="0.2">
      <c r="E964" s="10"/>
    </row>
    <row r="965" spans="5:5" ht="16" x14ac:dyDescent="0.2">
      <c r="E965" s="10"/>
    </row>
    <row r="966" spans="5:5" ht="16" x14ac:dyDescent="0.2">
      <c r="E966" s="10"/>
    </row>
    <row r="967" spans="5:5" ht="16" x14ac:dyDescent="0.2">
      <c r="E967" s="10"/>
    </row>
    <row r="968" spans="5:5" ht="16" x14ac:dyDescent="0.2">
      <c r="E968" s="10"/>
    </row>
    <row r="969" spans="5:5" ht="16" x14ac:dyDescent="0.2">
      <c r="E969" s="10"/>
    </row>
    <row r="970" spans="5:5" ht="16" x14ac:dyDescent="0.2">
      <c r="E970" s="10"/>
    </row>
    <row r="971" spans="5:5" ht="16" x14ac:dyDescent="0.2">
      <c r="E971" s="10"/>
    </row>
    <row r="972" spans="5:5" ht="16" x14ac:dyDescent="0.2">
      <c r="E972" s="10"/>
    </row>
    <row r="973" spans="5:5" ht="16" x14ac:dyDescent="0.2">
      <c r="E973" s="10"/>
    </row>
    <row r="974" spans="5:5" ht="16" x14ac:dyDescent="0.2">
      <c r="E974" s="10"/>
    </row>
    <row r="975" spans="5:5" ht="16" x14ac:dyDescent="0.2">
      <c r="E975" s="10"/>
    </row>
    <row r="976" spans="5:5" ht="16" x14ac:dyDescent="0.2">
      <c r="E976" s="10"/>
    </row>
    <row r="977" spans="5:5" ht="16" x14ac:dyDescent="0.2">
      <c r="E977" s="10"/>
    </row>
    <row r="978" spans="5:5" ht="16" x14ac:dyDescent="0.2">
      <c r="E978" s="10"/>
    </row>
    <row r="979" spans="5:5" ht="16" x14ac:dyDescent="0.2">
      <c r="E979" s="10"/>
    </row>
    <row r="980" spans="5:5" ht="16" x14ac:dyDescent="0.2">
      <c r="E980" s="10"/>
    </row>
    <row r="981" spans="5:5" ht="16" x14ac:dyDescent="0.2">
      <c r="E981" s="10"/>
    </row>
    <row r="982" spans="5:5" ht="16" x14ac:dyDescent="0.2">
      <c r="E982" s="10"/>
    </row>
    <row r="983" spans="5:5" ht="16" x14ac:dyDescent="0.2">
      <c r="E983" s="10"/>
    </row>
    <row r="984" spans="5:5" ht="16" x14ac:dyDescent="0.2">
      <c r="E984" s="10"/>
    </row>
    <row r="985" spans="5:5" ht="16" x14ac:dyDescent="0.2">
      <c r="E985" s="10"/>
    </row>
    <row r="986" spans="5:5" ht="16" x14ac:dyDescent="0.2">
      <c r="E986" s="10"/>
    </row>
    <row r="987" spans="5:5" ht="16" x14ac:dyDescent="0.2">
      <c r="E987" s="10"/>
    </row>
    <row r="988" spans="5:5" ht="16" x14ac:dyDescent="0.2">
      <c r="E988" s="10"/>
    </row>
    <row r="989" spans="5:5" ht="16" x14ac:dyDescent="0.2">
      <c r="E989" s="10"/>
    </row>
    <row r="990" spans="5:5" ht="16" x14ac:dyDescent="0.2">
      <c r="E990" s="10"/>
    </row>
    <row r="991" spans="5:5" ht="16" x14ac:dyDescent="0.2">
      <c r="E991" s="10"/>
    </row>
    <row r="992" spans="5:5" ht="16" x14ac:dyDescent="0.2">
      <c r="E992" s="10"/>
    </row>
    <row r="993" spans="5:5" ht="16" x14ac:dyDescent="0.2">
      <c r="E993" s="10"/>
    </row>
    <row r="994" spans="5:5" ht="16" x14ac:dyDescent="0.2">
      <c r="E994" s="10"/>
    </row>
    <row r="995" spans="5:5" ht="16" x14ac:dyDescent="0.2">
      <c r="E995" s="10"/>
    </row>
    <row r="996" spans="5:5" ht="16" x14ac:dyDescent="0.2">
      <c r="E996" s="10"/>
    </row>
    <row r="997" spans="5:5" ht="16" x14ac:dyDescent="0.2">
      <c r="E997" s="10"/>
    </row>
    <row r="998" spans="5:5" ht="16" x14ac:dyDescent="0.2">
      <c r="E998" s="10"/>
    </row>
    <row r="999" spans="5:5" ht="16" x14ac:dyDescent="0.2">
      <c r="E999" s="10"/>
    </row>
    <row r="1000" spans="5:5" ht="16" x14ac:dyDescent="0.2">
      <c r="E1000" s="1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7EC76-C3D2-4E85-9A16-CD7C6B606A4E}">
  <sheetPr codeName="Feuil7"/>
  <dimension ref="A1:E1000"/>
  <sheetViews>
    <sheetView topLeftCell="A49" workbookViewId="0">
      <selection activeCell="E4" sqref="E4:E80"/>
    </sheetView>
  </sheetViews>
  <sheetFormatPr baseColWidth="10" defaultColWidth="11.5" defaultRowHeight="15" x14ac:dyDescent="0.2"/>
  <cols>
    <col min="1" max="1" width="73.6640625" style="4" bestFit="1" customWidth="1"/>
    <col min="2" max="2" width="11.5" style="4" bestFit="1" customWidth="1"/>
    <col min="3" max="3" width="11" style="4" bestFit="1" customWidth="1"/>
    <col min="4" max="4" width="5.6640625" style="4" bestFit="1" customWidth="1"/>
    <col min="5" max="5" width="8.1640625" style="4" bestFit="1" customWidth="1"/>
  </cols>
  <sheetData>
    <row r="1" spans="1:5" ht="18" customHeight="1" x14ac:dyDescent="0.2">
      <c r="A1" s="6" t="s">
        <v>159</v>
      </c>
      <c r="B1"/>
      <c r="C1"/>
      <c r="D1"/>
      <c r="E1"/>
    </row>
    <row r="2" spans="1:5" x14ac:dyDescent="0.2">
      <c r="A2"/>
      <c r="B2"/>
      <c r="C2"/>
      <c r="D2"/>
      <c r="E2"/>
    </row>
    <row r="3" spans="1:5" ht="16" x14ac:dyDescent="0.2">
      <c r="A3" s="9" t="s">
        <v>155</v>
      </c>
      <c r="B3" s="9" t="s">
        <v>156</v>
      </c>
      <c r="C3" s="9" t="s">
        <v>157</v>
      </c>
      <c r="D3" s="127" t="s">
        <v>97</v>
      </c>
      <c r="E3" s="9" t="s">
        <v>142</v>
      </c>
    </row>
    <row r="4" spans="1:5" ht="16" x14ac:dyDescent="0.2">
      <c r="A4" s="10" t="s">
        <v>51</v>
      </c>
      <c r="B4" s="10" t="s">
        <v>71</v>
      </c>
      <c r="C4" s="11" t="s">
        <v>5</v>
      </c>
      <c r="D4" s="10">
        <v>5</v>
      </c>
      <c r="E4" s="10">
        <f>IFERROR(IFERROR(SUMIFS('Base de données'!$G:$G, 'Base de données'!A:A, BD_etu_notes_S1_C3!C4, 'Base de données'!$C:$C, BD_etu_notes_S1_C3!A4), 0) / IFERROR(SUMIFS('Base de données'!$E:$E, 'Base de données'!A:A, BD_etu_notes_S1_C3!C4, 'Base de données'!$C:$C, BD_etu_notes_S1_C3!A4), 0),0)</f>
        <v>13.5</v>
      </c>
    </row>
    <row r="5" spans="1:5" ht="16" x14ac:dyDescent="0.2">
      <c r="A5" s="10" t="s">
        <v>51</v>
      </c>
      <c r="B5" s="10" t="s">
        <v>71</v>
      </c>
      <c r="C5" s="11" t="s">
        <v>9</v>
      </c>
      <c r="D5" s="10">
        <v>5</v>
      </c>
      <c r="E5" s="10">
        <f>IFERROR(IFERROR(SUMIFS('Base de données'!$G:$G, 'Base de données'!A:A, BD_etu_notes_S1_C3!C5, 'Base de données'!$C:$C, BD_etu_notes_S1_C3!A5), 0) / IFERROR(SUMIFS('Base de données'!$E:$E, 'Base de données'!A:A, BD_etu_notes_S1_C3!C5, 'Base de données'!$C:$C, BD_etu_notes_S1_C3!A5), 0),0)</f>
        <v>15</v>
      </c>
    </row>
    <row r="6" spans="1:5" ht="16" x14ac:dyDescent="0.2">
      <c r="A6" s="10" t="s">
        <v>51</v>
      </c>
      <c r="B6" s="10" t="s">
        <v>71</v>
      </c>
      <c r="C6" s="11" t="s">
        <v>11</v>
      </c>
      <c r="D6" s="10">
        <v>5</v>
      </c>
      <c r="E6" s="10">
        <f>IFERROR(IFERROR(SUMIFS('Base de données'!$G:$G, 'Base de données'!A:A, BD_etu_notes_S1_C3!C6, 'Base de données'!$C:$C, BD_etu_notes_S1_C3!A6), 0) / IFERROR(SUMIFS('Base de données'!$E:$E, 'Base de données'!A:A, BD_etu_notes_S1_C3!C6, 'Base de données'!$C:$C, BD_etu_notes_S1_C3!A6), 0),0)</f>
        <v>12</v>
      </c>
    </row>
    <row r="7" spans="1:5" ht="16" x14ac:dyDescent="0.2">
      <c r="A7" s="10" t="s">
        <v>51</v>
      </c>
      <c r="B7" s="10" t="s">
        <v>71</v>
      </c>
      <c r="C7" s="11" t="s">
        <v>14</v>
      </c>
      <c r="D7" s="10">
        <v>5</v>
      </c>
      <c r="E7" s="10">
        <f>IFERROR(IFERROR(SUMIFS('Base de données'!$G:$G, 'Base de données'!A:A, BD_etu_notes_S1_C3!C7, 'Base de données'!$C:$C, BD_etu_notes_S1_C3!A7), 0) / IFERROR(SUMIFS('Base de données'!$E:$E, 'Base de données'!A:A, BD_etu_notes_S1_C3!C7, 'Base de données'!$C:$C, BD_etu_notes_S1_C3!A7), 0),0)</f>
        <v>14.5</v>
      </c>
    </row>
    <row r="8" spans="1:5" ht="16" x14ac:dyDescent="0.2">
      <c r="A8" s="10" t="s">
        <v>51</v>
      </c>
      <c r="B8" s="10" t="s">
        <v>71</v>
      </c>
      <c r="C8" s="11" t="s">
        <v>16</v>
      </c>
      <c r="D8" s="10">
        <v>5</v>
      </c>
      <c r="E8" s="10">
        <f>IFERROR(IFERROR(SUMIFS('Base de données'!$G:$G, 'Base de données'!A:A, BD_etu_notes_S1_C3!C8, 'Base de données'!$C:$C, BD_etu_notes_S1_C3!A8), 0) / IFERROR(SUMIFS('Base de données'!$E:$E, 'Base de données'!A:A, BD_etu_notes_S1_C3!C8, 'Base de données'!$C:$C, BD_etu_notes_S1_C3!A8), 0),0)</f>
        <v>12.5</v>
      </c>
    </row>
    <row r="9" spans="1:5" ht="16" x14ac:dyDescent="0.2">
      <c r="A9" s="10" t="s">
        <v>51</v>
      </c>
      <c r="B9" s="10" t="s">
        <v>71</v>
      </c>
      <c r="C9" s="11" t="s">
        <v>19</v>
      </c>
      <c r="D9" s="10">
        <v>5</v>
      </c>
      <c r="E9" s="10">
        <f>IFERROR(IFERROR(SUMIFS('Base de données'!$G:$G, 'Base de données'!A:A, BD_etu_notes_S1_C3!C9, 'Base de données'!$C:$C, BD_etu_notes_S1_C3!A9), 0) / IFERROR(SUMIFS('Base de données'!$E:$E, 'Base de données'!A:A, BD_etu_notes_S1_C3!C9, 'Base de données'!$C:$C, BD_etu_notes_S1_C3!A9), 0),0)</f>
        <v>11.5</v>
      </c>
    </row>
    <row r="10" spans="1:5" ht="16" x14ac:dyDescent="0.2">
      <c r="A10" s="10" t="s">
        <v>51</v>
      </c>
      <c r="B10" s="10" t="s">
        <v>71</v>
      </c>
      <c r="C10" s="11" t="s">
        <v>21</v>
      </c>
      <c r="D10" s="10">
        <v>5</v>
      </c>
      <c r="E10" s="10">
        <f>IFERROR(IFERROR(SUMIFS('Base de données'!$G:$G, 'Base de données'!A:A, BD_etu_notes_S1_C3!C10, 'Base de données'!$C:$C, BD_etu_notes_S1_C3!A10), 0) / IFERROR(SUMIFS('Base de données'!$E:$E, 'Base de données'!A:A, BD_etu_notes_S1_C3!C10, 'Base de données'!$C:$C, BD_etu_notes_S1_C3!A10), 0),0)</f>
        <v>16</v>
      </c>
    </row>
    <row r="11" spans="1:5" ht="16" x14ac:dyDescent="0.2">
      <c r="A11" s="10" t="s">
        <v>51</v>
      </c>
      <c r="B11" s="10" t="s">
        <v>71</v>
      </c>
      <c r="C11" s="11" t="s">
        <v>24</v>
      </c>
      <c r="D11" s="10">
        <v>5</v>
      </c>
      <c r="E11" s="10">
        <f>IFERROR(IFERROR(SUMIFS('Base de données'!$G:$G, 'Base de données'!A:A, BD_etu_notes_S1_C3!C11, 'Base de données'!$C:$C, BD_etu_notes_S1_C3!A11), 0) / IFERROR(SUMIFS('Base de données'!$E:$E, 'Base de données'!A:A, BD_etu_notes_S1_C3!C11, 'Base de données'!$C:$C, BD_etu_notes_S1_C3!A11), 0),0)</f>
        <v>14</v>
      </c>
    </row>
    <row r="12" spans="1:5" ht="16" x14ac:dyDescent="0.2">
      <c r="A12" s="10" t="s">
        <v>51</v>
      </c>
      <c r="B12" s="10" t="s">
        <v>71</v>
      </c>
      <c r="C12" s="11" t="s">
        <v>26</v>
      </c>
      <c r="D12" s="10">
        <v>5</v>
      </c>
      <c r="E12" s="10">
        <f>IFERROR(IFERROR(SUMIFS('Base de données'!$G:$G, 'Base de données'!A:A, BD_etu_notes_S1_C3!C12, 'Base de données'!$C:$C, BD_etu_notes_S1_C3!A12), 0) / IFERROR(SUMIFS('Base de données'!$E:$E, 'Base de données'!A:A, BD_etu_notes_S1_C3!C12, 'Base de données'!$C:$C, BD_etu_notes_S1_C3!A12), 0),0)</f>
        <v>10.5</v>
      </c>
    </row>
    <row r="13" spans="1:5" ht="16" x14ac:dyDescent="0.2">
      <c r="A13" s="10" t="s">
        <v>51</v>
      </c>
      <c r="B13" s="10" t="s">
        <v>71</v>
      </c>
      <c r="C13" s="11" t="s">
        <v>29</v>
      </c>
      <c r="D13" s="10">
        <v>5</v>
      </c>
      <c r="E13" s="10">
        <f>IFERROR(IFERROR(SUMIFS('Base de données'!$G:$G, 'Base de données'!A:A, BD_etu_notes_S1_C3!C13, 'Base de données'!$C:$C, BD_etu_notes_S1_C3!A13), 0) / IFERROR(SUMIFS('Base de données'!$E:$E, 'Base de données'!A:A, BD_etu_notes_S1_C3!C13, 'Base de données'!$C:$C, BD_etu_notes_S1_C3!A13), 0),0)</f>
        <v>14</v>
      </c>
    </row>
    <row r="14" spans="1:5" ht="16" x14ac:dyDescent="0.2">
      <c r="A14" s="10" t="str">
        <f>_xlfn.XLOOKUP(B14,'Semestre 1'!$D$3:$D$20,'Semestre 1'!$B$3:$B$20,"introuvable")</f>
        <v>Initiation à l'anglais de spécialité</v>
      </c>
      <c r="B14" s="10" t="s">
        <v>86</v>
      </c>
      <c r="C14" s="11" t="s">
        <v>5</v>
      </c>
      <c r="D14" s="10">
        <f>_xlfn.XLOOKUP(B14,'Semestre 1'!$D$3:$D$20,'Semestre 1'!$C$3:$C$20,"introuvable")</f>
        <v>15</v>
      </c>
      <c r="E14" s="10">
        <f>IFERROR(IFERROR(SUMIFS('Base de données'!$G:$G, 'Base de données'!A:A, BD_etu_notes_S1_C3!C14, 'Base de données'!$C:$C, BD_etu_notes_S1_C3!A14), 0) / IFERROR(SUMIFS('Base de données'!$E:$E, 'Base de données'!A:A, BD_etu_notes_S1_C3!C14, 'Base de données'!$C:$C, BD_etu_notes_S1_C3!A14), 0),0)</f>
        <v>0</v>
      </c>
    </row>
    <row r="15" spans="1:5" ht="16" x14ac:dyDescent="0.2">
      <c r="A15" s="10" t="str">
        <f>_xlfn.XLOOKUP(B15,'Semestre 1'!$D$3:$D$20,'Semestre 1'!$B$3:$B$20,"introuvable")</f>
        <v>Initiation à l'anglais de spécialité</v>
      </c>
      <c r="B15" s="10" t="s">
        <v>86</v>
      </c>
      <c r="C15" s="11" t="s">
        <v>9</v>
      </c>
      <c r="D15" s="10">
        <f>_xlfn.XLOOKUP(B15,'Semestre 1'!$D$3:$D$20,'Semestre 1'!$C$3:$C$20,"introuvable")</f>
        <v>15</v>
      </c>
      <c r="E15" s="10">
        <f>IFERROR(IFERROR(SUMIFS('Base de données'!$G:$G, 'Base de données'!A:A, BD_etu_notes_S1_C3!C15, 'Base de données'!$C:$C, BD_etu_notes_S1_C3!A15), 0) / IFERROR(SUMIFS('Base de données'!$E:$E, 'Base de données'!A:A, BD_etu_notes_S1_C3!C15, 'Base de données'!$C:$C, BD_etu_notes_S1_C3!A15), 0),0)</f>
        <v>0</v>
      </c>
    </row>
    <row r="16" spans="1:5" ht="16" x14ac:dyDescent="0.2">
      <c r="A16" s="10" t="str">
        <f>_xlfn.XLOOKUP(B16,'Semestre 1'!$D$3:$D$20,'Semestre 1'!$B$3:$B$20,"introuvable")</f>
        <v>Initiation à l'anglais de spécialité</v>
      </c>
      <c r="B16" s="10" t="s">
        <v>86</v>
      </c>
      <c r="C16" s="11" t="s">
        <v>11</v>
      </c>
      <c r="D16" s="10">
        <f>_xlfn.XLOOKUP(B16,'Semestre 1'!$D$3:$D$20,'Semestre 1'!$C$3:$C$20,"introuvable")</f>
        <v>15</v>
      </c>
      <c r="E16" s="10">
        <f>IFERROR(IFERROR(SUMIFS('Base de données'!$G:$G, 'Base de données'!A:A, BD_etu_notes_S1_C3!C16, 'Base de données'!$C:$C, BD_etu_notes_S1_C3!A16), 0) / IFERROR(SUMIFS('Base de données'!$E:$E, 'Base de données'!A:A, BD_etu_notes_S1_C3!C16, 'Base de données'!$C:$C, BD_etu_notes_S1_C3!A16), 0),0)</f>
        <v>0</v>
      </c>
    </row>
    <row r="17" spans="1:5" ht="16" x14ac:dyDescent="0.2">
      <c r="A17" s="10" t="str">
        <f>_xlfn.XLOOKUP(B17,'Semestre 1'!$D$3:$D$20,'Semestre 1'!$B$3:$B$20,"introuvable")</f>
        <v>Initiation à l'anglais de spécialité</v>
      </c>
      <c r="B17" s="10" t="s">
        <v>86</v>
      </c>
      <c r="C17" s="11" t="s">
        <v>14</v>
      </c>
      <c r="D17" s="10">
        <f>_xlfn.XLOOKUP(B17,'Semestre 1'!$D$3:$D$20,'Semestre 1'!$C$3:$C$20,"introuvable")</f>
        <v>15</v>
      </c>
      <c r="E17" s="10">
        <f>IFERROR(IFERROR(SUMIFS('Base de données'!$G:$G, 'Base de données'!A:A, BD_etu_notes_S1_C3!C17, 'Base de données'!$C:$C, BD_etu_notes_S1_C3!A17), 0) / IFERROR(SUMIFS('Base de données'!$E:$E, 'Base de données'!A:A, BD_etu_notes_S1_C3!C17, 'Base de données'!$C:$C, BD_etu_notes_S1_C3!A17), 0),0)</f>
        <v>0</v>
      </c>
    </row>
    <row r="18" spans="1:5" ht="16" x14ac:dyDescent="0.2">
      <c r="A18" s="10" t="str">
        <f>_xlfn.XLOOKUP(B18,'Semestre 1'!$D$3:$D$20,'Semestre 1'!$B$3:$B$20,"introuvable")</f>
        <v>Initiation à l'anglais de spécialité</v>
      </c>
      <c r="B18" s="10" t="s">
        <v>86</v>
      </c>
      <c r="C18" s="11" t="s">
        <v>16</v>
      </c>
      <c r="D18" s="10">
        <f>_xlfn.XLOOKUP(B18,'Semestre 1'!$D$3:$D$20,'Semestre 1'!$C$3:$C$20,"introuvable")</f>
        <v>15</v>
      </c>
      <c r="E18" s="10">
        <f>IFERROR(IFERROR(SUMIFS('Base de données'!$G:$G, 'Base de données'!A:A, BD_etu_notes_S1_C3!C18, 'Base de données'!$C:$C, BD_etu_notes_S1_C3!A18), 0) / IFERROR(SUMIFS('Base de données'!$E:$E, 'Base de données'!A:A, BD_etu_notes_S1_C3!C18, 'Base de données'!$C:$C, BD_etu_notes_S1_C3!A18), 0),0)</f>
        <v>0</v>
      </c>
    </row>
    <row r="19" spans="1:5" ht="16" x14ac:dyDescent="0.2">
      <c r="A19" s="10" t="str">
        <f>_xlfn.XLOOKUP(B19,'Semestre 1'!$D$3:$D$20,'Semestre 1'!$B$3:$B$20,"introuvable")</f>
        <v>Initiation à l'anglais de spécialité</v>
      </c>
      <c r="B19" s="10" t="s">
        <v>86</v>
      </c>
      <c r="C19" s="11" t="s">
        <v>19</v>
      </c>
      <c r="D19" s="10">
        <f>_xlfn.XLOOKUP(B19,'Semestre 1'!$D$3:$D$20,'Semestre 1'!$C$3:$C$20,"introuvable")</f>
        <v>15</v>
      </c>
      <c r="E19" s="10">
        <f>IFERROR(IFERROR(SUMIFS('Base de données'!$G:$G, 'Base de données'!A:A, BD_etu_notes_S1_C3!C19, 'Base de données'!$C:$C, BD_etu_notes_S1_C3!A19), 0) / IFERROR(SUMIFS('Base de données'!$E:$E, 'Base de données'!A:A, BD_etu_notes_S1_C3!C19, 'Base de données'!$C:$C, BD_etu_notes_S1_C3!A19), 0),0)</f>
        <v>0</v>
      </c>
    </row>
    <row r="20" spans="1:5" ht="16" x14ac:dyDescent="0.2">
      <c r="A20" s="10" t="str">
        <f>_xlfn.XLOOKUP(B20,'Semestre 1'!$D$3:$D$20,'Semestre 1'!$B$3:$B$20,"introuvable")</f>
        <v>Initiation à l'anglais de spécialité</v>
      </c>
      <c r="B20" s="10" t="s">
        <v>86</v>
      </c>
      <c r="C20" s="11" t="s">
        <v>21</v>
      </c>
      <c r="D20" s="10">
        <f>_xlfn.XLOOKUP(B20,'Semestre 1'!$D$3:$D$20,'Semestre 1'!$C$3:$C$20,"introuvable")</f>
        <v>15</v>
      </c>
      <c r="E20" s="10">
        <f>IFERROR(IFERROR(SUMIFS('Base de données'!$G:$G, 'Base de données'!A:A, BD_etu_notes_S1_C3!C20, 'Base de données'!$C:$C, BD_etu_notes_S1_C3!A20), 0) / IFERROR(SUMIFS('Base de données'!$E:$E, 'Base de données'!A:A, BD_etu_notes_S1_C3!C20, 'Base de données'!$C:$C, BD_etu_notes_S1_C3!A20), 0),0)</f>
        <v>0</v>
      </c>
    </row>
    <row r="21" spans="1:5" ht="16" x14ac:dyDescent="0.2">
      <c r="A21" s="10" t="str">
        <f>_xlfn.XLOOKUP(B21,'Semestre 1'!$D$3:$D$20,'Semestre 1'!$B$3:$B$20,"introuvable")</f>
        <v>Initiation à l'anglais de spécialité</v>
      </c>
      <c r="B21" s="10" t="s">
        <v>86</v>
      </c>
      <c r="C21" s="11" t="s">
        <v>24</v>
      </c>
      <c r="D21" s="10">
        <f>_xlfn.XLOOKUP(B21,'Semestre 1'!$D$3:$D$20,'Semestre 1'!$C$3:$C$20,"introuvable")</f>
        <v>15</v>
      </c>
      <c r="E21" s="10">
        <f>IFERROR(IFERROR(SUMIFS('Base de données'!$G:$G, 'Base de données'!A:A, BD_etu_notes_S1_C3!C21, 'Base de données'!$C:$C, BD_etu_notes_S1_C3!A21), 0) / IFERROR(SUMIFS('Base de données'!$E:$E, 'Base de données'!A:A, BD_etu_notes_S1_C3!C21, 'Base de données'!$C:$C, BD_etu_notes_S1_C3!A21), 0),0)</f>
        <v>0</v>
      </c>
    </row>
    <row r="22" spans="1:5" ht="16" x14ac:dyDescent="0.2">
      <c r="A22" s="10" t="str">
        <f>_xlfn.XLOOKUP(B22,'Semestre 1'!$D$3:$D$20,'Semestre 1'!$B$3:$B$20,"introuvable")</f>
        <v>Initiation à l'anglais de spécialité</v>
      </c>
      <c r="B22" s="10" t="s">
        <v>86</v>
      </c>
      <c r="C22" s="11" t="s">
        <v>26</v>
      </c>
      <c r="D22" s="10">
        <f>_xlfn.XLOOKUP(B22,'Semestre 1'!$D$3:$D$20,'Semestre 1'!$C$3:$C$20,"introuvable")</f>
        <v>15</v>
      </c>
      <c r="E22" s="10">
        <f>IFERROR(IFERROR(SUMIFS('Base de données'!$G:$G, 'Base de données'!A:A, BD_etu_notes_S1_C3!C22, 'Base de données'!$C:$C, BD_etu_notes_S1_C3!A22), 0) / IFERROR(SUMIFS('Base de données'!$E:$E, 'Base de données'!A:A, BD_etu_notes_S1_C3!C22, 'Base de données'!$C:$C, BD_etu_notes_S1_C3!A22), 0),0)</f>
        <v>0</v>
      </c>
    </row>
    <row r="23" spans="1:5" ht="16" x14ac:dyDescent="0.2">
      <c r="A23" s="10" t="str">
        <f>_xlfn.XLOOKUP(B23,'Semestre 1'!$D$3:$D$20,'Semestre 1'!$B$3:$B$20,"introuvable")</f>
        <v>Initiation à l'anglais de spécialité</v>
      </c>
      <c r="B23" s="10" t="s">
        <v>86</v>
      </c>
      <c r="C23" s="11" t="s">
        <v>29</v>
      </c>
      <c r="D23" s="10">
        <f>_xlfn.XLOOKUP(B23,'Semestre 1'!$D$3:$D$20,'Semestre 1'!$C$3:$C$20,"introuvable")</f>
        <v>15</v>
      </c>
      <c r="E23" s="10">
        <f>IFERROR(IFERROR(SUMIFS('Base de données'!$G:$G, 'Base de données'!A:A, BD_etu_notes_S1_C3!C23, 'Base de données'!$C:$C, BD_etu_notes_S1_C3!A23), 0) / IFERROR(SUMIFS('Base de données'!$E:$E, 'Base de données'!A:A, BD_etu_notes_S1_C3!C23, 'Base de données'!$C:$C, BD_etu_notes_S1_C3!A23), 0),0)</f>
        <v>0</v>
      </c>
    </row>
    <row r="24" spans="1:5" ht="16" x14ac:dyDescent="0.2">
      <c r="A24" s="10" t="str">
        <f>_xlfn.XLOOKUP(B24,'Semestre 1'!$D$3:$D$20,'Semestre 1'!$B$3:$B$20,"introuvable")</f>
        <v>Communication de l'information et recherche documentaire</v>
      </c>
      <c r="B24" s="10" t="s">
        <v>88</v>
      </c>
      <c r="C24" s="11" t="s">
        <v>5</v>
      </c>
      <c r="D24" s="10">
        <f>_xlfn.XLOOKUP(B24,'Semestre 1'!$D$3:$D$20,'Semestre 1'!$C$3:$C$20,"introuvable")</f>
        <v>15</v>
      </c>
      <c r="E24" s="10">
        <f>IFERROR(IFERROR(SUMIFS('Base de données'!$G:$G, 'Base de données'!A:A, BD_etu_notes_S1_C3!C24, 'Base de données'!$C:$C, BD_etu_notes_S1_C3!A24), 0) / IFERROR(SUMIFS('Base de données'!$E:$E, 'Base de données'!A:A, BD_etu_notes_S1_C3!C24, 'Base de données'!$C:$C, BD_etu_notes_S1_C3!A24), 0),0)</f>
        <v>0</v>
      </c>
    </row>
    <row r="25" spans="1:5" ht="16" x14ac:dyDescent="0.2">
      <c r="A25" s="10" t="str">
        <f>_xlfn.XLOOKUP(B25,'Semestre 1'!$D$3:$D$20,'Semestre 1'!$B$3:$B$20,"introuvable")</f>
        <v>Communication de l'information et recherche documentaire</v>
      </c>
      <c r="B25" s="10" t="s">
        <v>88</v>
      </c>
      <c r="C25" s="11" t="s">
        <v>9</v>
      </c>
      <c r="D25" s="10">
        <f>_xlfn.XLOOKUP(B25,'Semestre 1'!$D$3:$D$20,'Semestre 1'!$C$3:$C$20,"introuvable")</f>
        <v>15</v>
      </c>
      <c r="E25" s="10">
        <f>IFERROR(IFERROR(SUMIFS('Base de données'!$G:$G, 'Base de données'!A:A, BD_etu_notes_S1_C3!C25, 'Base de données'!$C:$C, BD_etu_notes_S1_C3!A25), 0) / IFERROR(SUMIFS('Base de données'!$E:$E, 'Base de données'!A:A, BD_etu_notes_S1_C3!C25, 'Base de données'!$C:$C, BD_etu_notes_S1_C3!A25), 0),0)</f>
        <v>0</v>
      </c>
    </row>
    <row r="26" spans="1:5" ht="16" x14ac:dyDescent="0.2">
      <c r="A26" s="10" t="str">
        <f>_xlfn.XLOOKUP(B26,'Semestre 1'!$D$3:$D$20,'Semestre 1'!$B$3:$B$20,"introuvable")</f>
        <v>Communication de l'information et recherche documentaire</v>
      </c>
      <c r="B26" s="10" t="s">
        <v>88</v>
      </c>
      <c r="C26" s="11" t="s">
        <v>11</v>
      </c>
      <c r="D26" s="10">
        <f>_xlfn.XLOOKUP(B26,'Semestre 1'!$D$3:$D$20,'Semestre 1'!$C$3:$C$20,"introuvable")</f>
        <v>15</v>
      </c>
      <c r="E26" s="10">
        <f>IFERROR(IFERROR(SUMIFS('Base de données'!$G:$G, 'Base de données'!A:A, BD_etu_notes_S1_C3!C26, 'Base de données'!$C:$C, BD_etu_notes_S1_C3!A26), 0) / IFERROR(SUMIFS('Base de données'!$E:$E, 'Base de données'!A:A, BD_etu_notes_S1_C3!C26, 'Base de données'!$C:$C, BD_etu_notes_S1_C3!A26), 0),0)</f>
        <v>0</v>
      </c>
    </row>
    <row r="27" spans="1:5" ht="16" x14ac:dyDescent="0.2">
      <c r="A27" s="10" t="str">
        <f>_xlfn.XLOOKUP(B27,'Semestre 1'!$D$3:$D$20,'Semestre 1'!$B$3:$B$20,"introuvable")</f>
        <v>Communication de l'information et recherche documentaire</v>
      </c>
      <c r="B27" s="10" t="s">
        <v>88</v>
      </c>
      <c r="C27" s="11" t="s">
        <v>14</v>
      </c>
      <c r="D27" s="10">
        <f>_xlfn.XLOOKUP(B27,'Semestre 1'!$D$3:$D$20,'Semestre 1'!$C$3:$C$20,"introuvable")</f>
        <v>15</v>
      </c>
      <c r="E27" s="10">
        <f>IFERROR(IFERROR(SUMIFS('Base de données'!$G:$G, 'Base de données'!A:A, BD_etu_notes_S1_C3!C27, 'Base de données'!$C:$C, BD_etu_notes_S1_C3!A27), 0) / IFERROR(SUMIFS('Base de données'!$E:$E, 'Base de données'!A:A, BD_etu_notes_S1_C3!C27, 'Base de données'!$C:$C, BD_etu_notes_S1_C3!A27), 0),0)</f>
        <v>0</v>
      </c>
    </row>
    <row r="28" spans="1:5" ht="16" x14ac:dyDescent="0.2">
      <c r="A28" s="10" t="str">
        <f>_xlfn.XLOOKUP(B28,'Semestre 1'!$D$3:$D$20,'Semestre 1'!$B$3:$B$20,"introuvable")</f>
        <v>Communication de l'information et recherche documentaire</v>
      </c>
      <c r="B28" s="10" t="s">
        <v>88</v>
      </c>
      <c r="C28" s="11" t="s">
        <v>16</v>
      </c>
      <c r="D28" s="10">
        <f>_xlfn.XLOOKUP(B28,'Semestre 1'!$D$3:$D$20,'Semestre 1'!$C$3:$C$20,"introuvable")</f>
        <v>15</v>
      </c>
      <c r="E28" s="10">
        <f>IFERROR(IFERROR(SUMIFS('Base de données'!$G:$G, 'Base de données'!A:A, BD_etu_notes_S1_C3!C28, 'Base de données'!$C:$C, BD_etu_notes_S1_C3!A28), 0) / IFERROR(SUMIFS('Base de données'!$E:$E, 'Base de données'!A:A, BD_etu_notes_S1_C3!C28, 'Base de données'!$C:$C, BD_etu_notes_S1_C3!A28), 0),0)</f>
        <v>0</v>
      </c>
    </row>
    <row r="29" spans="1:5" ht="16" x14ac:dyDescent="0.2">
      <c r="A29" s="10" t="str">
        <f>_xlfn.XLOOKUP(B29,'Semestre 1'!$D$3:$D$20,'Semestre 1'!$B$3:$B$20,"introuvable")</f>
        <v>Communication de l'information et recherche documentaire</v>
      </c>
      <c r="B29" s="10" t="s">
        <v>88</v>
      </c>
      <c r="C29" s="11" t="s">
        <v>19</v>
      </c>
      <c r="D29" s="10">
        <f>_xlfn.XLOOKUP(B29,'Semestre 1'!$D$3:$D$20,'Semestre 1'!$C$3:$C$20,"introuvable")</f>
        <v>15</v>
      </c>
      <c r="E29" s="10">
        <f>IFERROR(IFERROR(SUMIFS('Base de données'!$G:$G, 'Base de données'!A:A, BD_etu_notes_S1_C3!C29, 'Base de données'!$C:$C, BD_etu_notes_S1_C3!A29), 0) / IFERROR(SUMIFS('Base de données'!$E:$E, 'Base de données'!A:A, BD_etu_notes_S1_C3!C29, 'Base de données'!$C:$C, BD_etu_notes_S1_C3!A29), 0),0)</f>
        <v>0</v>
      </c>
    </row>
    <row r="30" spans="1:5" ht="16" x14ac:dyDescent="0.2">
      <c r="A30" s="10" t="str">
        <f>_xlfn.XLOOKUP(B30,'Semestre 1'!$D$3:$D$20,'Semestre 1'!$B$3:$B$20,"introuvable")</f>
        <v>Communication de l'information et recherche documentaire</v>
      </c>
      <c r="B30" s="10" t="s">
        <v>88</v>
      </c>
      <c r="C30" s="11" t="s">
        <v>21</v>
      </c>
      <c r="D30" s="10">
        <f>_xlfn.XLOOKUP(B30,'Semestre 1'!$D$3:$D$20,'Semestre 1'!$C$3:$C$20,"introuvable")</f>
        <v>15</v>
      </c>
      <c r="E30" s="10">
        <f>IFERROR(IFERROR(SUMIFS('Base de données'!$G:$G, 'Base de données'!A:A, BD_etu_notes_S1_C3!C30, 'Base de données'!$C:$C, BD_etu_notes_S1_C3!A30), 0) / IFERROR(SUMIFS('Base de données'!$E:$E, 'Base de données'!A:A, BD_etu_notes_S1_C3!C30, 'Base de données'!$C:$C, BD_etu_notes_S1_C3!A30), 0),0)</f>
        <v>0</v>
      </c>
    </row>
    <row r="31" spans="1:5" ht="16" x14ac:dyDescent="0.2">
      <c r="A31" s="10" t="str">
        <f>_xlfn.XLOOKUP(B31,'Semestre 1'!$D$3:$D$20,'Semestre 1'!$B$3:$B$20,"introuvable")</f>
        <v>Communication de l'information et recherche documentaire</v>
      </c>
      <c r="B31" s="10" t="s">
        <v>88</v>
      </c>
      <c r="C31" s="11" t="s">
        <v>24</v>
      </c>
      <c r="D31" s="10">
        <f>_xlfn.XLOOKUP(B31,'Semestre 1'!$D$3:$D$20,'Semestre 1'!$C$3:$C$20,"introuvable")</f>
        <v>15</v>
      </c>
      <c r="E31" s="10">
        <f>IFERROR(IFERROR(SUMIFS('Base de données'!$G:$G, 'Base de données'!A:A, BD_etu_notes_S1_C3!C31, 'Base de données'!$C:$C, BD_etu_notes_S1_C3!A31), 0) / IFERROR(SUMIFS('Base de données'!$E:$E, 'Base de données'!A:A, BD_etu_notes_S1_C3!C31, 'Base de données'!$C:$C, BD_etu_notes_S1_C3!A31), 0),0)</f>
        <v>0</v>
      </c>
    </row>
    <row r="32" spans="1:5" ht="16" x14ac:dyDescent="0.2">
      <c r="A32" s="10" t="str">
        <f>_xlfn.XLOOKUP(B32,'Semestre 1'!$D$3:$D$20,'Semestre 1'!$B$3:$B$20,"introuvable")</f>
        <v>Communication de l'information et recherche documentaire</v>
      </c>
      <c r="B32" s="10" t="s">
        <v>88</v>
      </c>
      <c r="C32" s="11" t="s">
        <v>26</v>
      </c>
      <c r="D32" s="10">
        <f>_xlfn.XLOOKUP(B32,'Semestre 1'!$D$3:$D$20,'Semestre 1'!$C$3:$C$20,"introuvable")</f>
        <v>15</v>
      </c>
      <c r="E32" s="10">
        <f>IFERROR(IFERROR(SUMIFS('Base de données'!$G:$G, 'Base de données'!A:A, BD_etu_notes_S1_C3!C32, 'Base de données'!$C:$C, BD_etu_notes_S1_C3!A32), 0) / IFERROR(SUMIFS('Base de données'!$E:$E, 'Base de données'!A:A, BD_etu_notes_S1_C3!C32, 'Base de données'!$C:$C, BD_etu_notes_S1_C3!A32), 0),0)</f>
        <v>0</v>
      </c>
    </row>
    <row r="33" spans="1:5" ht="16" x14ac:dyDescent="0.2">
      <c r="A33" s="10" t="str">
        <f>_xlfn.XLOOKUP(B33,'Semestre 1'!$D$3:$D$20,'Semestre 1'!$B$3:$B$20,"introuvable")</f>
        <v>Communication de l'information et recherche documentaire</v>
      </c>
      <c r="B33" s="10" t="s">
        <v>88</v>
      </c>
      <c r="C33" s="11" t="s">
        <v>29</v>
      </c>
      <c r="D33" s="10">
        <f>_xlfn.XLOOKUP(B33,'Semestre 1'!$D$3:$D$20,'Semestre 1'!$C$3:$C$20,"introuvable")</f>
        <v>15</v>
      </c>
      <c r="E33" s="10">
        <f>IFERROR(IFERROR(SUMIFS('Base de données'!$G:$G, 'Base de données'!A:A, BD_etu_notes_S1_C3!C33, 'Base de données'!$C:$C, BD_etu_notes_S1_C3!A33), 0) / IFERROR(SUMIFS('Base de données'!$E:$E, 'Base de données'!A:A, BD_etu_notes_S1_C3!C33, 'Base de données'!$C:$C, BD_etu_notes_S1_C3!A33), 0),0)</f>
        <v>0</v>
      </c>
    </row>
    <row r="34" spans="1:5" ht="16" x14ac:dyDescent="0.2">
      <c r="A34" s="10" t="str">
        <f>_xlfn.XLOOKUP(B34,'Semestre 1'!$D$3:$D$20,'Semestre 1'!$B$3:$B$20,"introuvable")</f>
        <v xml:space="preserve">Découverte des données de l’environnement entrepreneurial et économique </v>
      </c>
      <c r="B34" s="10" t="s">
        <v>90</v>
      </c>
      <c r="C34" s="11" t="s">
        <v>5</v>
      </c>
      <c r="D34" s="10">
        <f>_xlfn.XLOOKUP(B34,'Semestre 1'!$D$3:$D$20,'Semestre 1'!$C$3:$C$20,"introuvable")</f>
        <v>25</v>
      </c>
      <c r="E34" s="10">
        <f>IFERROR(IFERROR(SUMIFS('Base de données'!$G:$G, 'Base de données'!A:A, BD_etu_notes_S1_C3!C34, 'Base de données'!$C:$C, BD_etu_notes_S1_C3!A34), 0) / IFERROR(SUMIFS('Base de données'!$E:$E, 'Base de données'!A:A, BD_etu_notes_S1_C3!C34, 'Base de données'!$C:$C, BD_etu_notes_S1_C3!A34), 0),0)</f>
        <v>0</v>
      </c>
    </row>
    <row r="35" spans="1:5" ht="16" x14ac:dyDescent="0.2">
      <c r="A35" s="10" t="str">
        <f>_xlfn.XLOOKUP(B35,'Semestre 1'!$D$3:$D$20,'Semestre 1'!$B$3:$B$20,"introuvable")</f>
        <v xml:space="preserve">Découverte des données de l’environnement entrepreneurial et économique </v>
      </c>
      <c r="B35" s="10" t="s">
        <v>90</v>
      </c>
      <c r="C35" s="11" t="s">
        <v>9</v>
      </c>
      <c r="D35" s="10">
        <f>_xlfn.XLOOKUP(B35,'Semestre 1'!$D$3:$D$20,'Semestre 1'!$C$3:$C$20,"introuvable")</f>
        <v>25</v>
      </c>
      <c r="E35" s="10">
        <f>IFERROR(IFERROR(SUMIFS('Base de données'!$G:$G, 'Base de données'!A:A, BD_etu_notes_S1_C3!C35, 'Base de données'!$C:$C, BD_etu_notes_S1_C3!A35), 0) / IFERROR(SUMIFS('Base de données'!$E:$E, 'Base de données'!A:A, BD_etu_notes_S1_C3!C35, 'Base de données'!$C:$C, BD_etu_notes_S1_C3!A35), 0),0)</f>
        <v>0</v>
      </c>
    </row>
    <row r="36" spans="1:5" ht="16" x14ac:dyDescent="0.2">
      <c r="A36" s="10" t="str">
        <f>_xlfn.XLOOKUP(B36,'Semestre 1'!$D$3:$D$20,'Semestre 1'!$B$3:$B$20,"introuvable")</f>
        <v xml:space="preserve">Découverte des données de l’environnement entrepreneurial et économique </v>
      </c>
      <c r="B36" s="10" t="s">
        <v>90</v>
      </c>
      <c r="C36" s="11" t="s">
        <v>11</v>
      </c>
      <c r="D36" s="10">
        <f>_xlfn.XLOOKUP(B36,'Semestre 1'!$D$3:$D$20,'Semestre 1'!$C$3:$C$20,"introuvable")</f>
        <v>25</v>
      </c>
      <c r="E36" s="10">
        <f>IFERROR(IFERROR(SUMIFS('Base de données'!$G:$G, 'Base de données'!A:A, BD_etu_notes_S1_C3!C36, 'Base de données'!$C:$C, BD_etu_notes_S1_C3!A36), 0) / IFERROR(SUMIFS('Base de données'!$E:$E, 'Base de données'!A:A, BD_etu_notes_S1_C3!C36, 'Base de données'!$C:$C, BD_etu_notes_S1_C3!A36), 0),0)</f>
        <v>0</v>
      </c>
    </row>
    <row r="37" spans="1:5" ht="16" x14ac:dyDescent="0.2">
      <c r="A37" s="10" t="str">
        <f>_xlfn.XLOOKUP(B37,'Semestre 1'!$D$3:$D$20,'Semestre 1'!$B$3:$B$20,"introuvable")</f>
        <v xml:space="preserve">Découverte des données de l’environnement entrepreneurial et économique </v>
      </c>
      <c r="B37" s="10" t="s">
        <v>90</v>
      </c>
      <c r="C37" s="11" t="s">
        <v>14</v>
      </c>
      <c r="D37" s="10">
        <f>_xlfn.XLOOKUP(B37,'Semestre 1'!$D$3:$D$20,'Semestre 1'!$C$3:$C$20,"introuvable")</f>
        <v>25</v>
      </c>
      <c r="E37" s="10">
        <f>IFERROR(IFERROR(SUMIFS('Base de données'!$G:$G, 'Base de données'!A:A, BD_etu_notes_S1_C3!C37, 'Base de données'!$C:$C, BD_etu_notes_S1_C3!A37), 0) / IFERROR(SUMIFS('Base de données'!$E:$E, 'Base de données'!A:A, BD_etu_notes_S1_C3!C37, 'Base de données'!$C:$C, BD_etu_notes_S1_C3!A37), 0),0)</f>
        <v>0</v>
      </c>
    </row>
    <row r="38" spans="1:5" ht="16" x14ac:dyDescent="0.2">
      <c r="A38" s="10" t="str">
        <f>_xlfn.XLOOKUP(B38,'Semestre 1'!$D$3:$D$20,'Semestre 1'!$B$3:$B$20,"introuvable")</f>
        <v xml:space="preserve">Découverte des données de l’environnement entrepreneurial et économique </v>
      </c>
      <c r="B38" s="10" t="s">
        <v>90</v>
      </c>
      <c r="C38" s="11" t="s">
        <v>16</v>
      </c>
      <c r="D38" s="10">
        <f>_xlfn.XLOOKUP(B38,'Semestre 1'!$D$3:$D$20,'Semestre 1'!$C$3:$C$20,"introuvable")</f>
        <v>25</v>
      </c>
      <c r="E38" s="10">
        <f>IFERROR(IFERROR(SUMIFS('Base de données'!$G:$G, 'Base de données'!A:A, BD_etu_notes_S1_C3!C38, 'Base de données'!$C:$C, BD_etu_notes_S1_C3!A38), 0) / IFERROR(SUMIFS('Base de données'!$E:$E, 'Base de données'!A:A, BD_etu_notes_S1_C3!C38, 'Base de données'!$C:$C, BD_etu_notes_S1_C3!A38), 0),0)</f>
        <v>0</v>
      </c>
    </row>
    <row r="39" spans="1:5" ht="16" x14ac:dyDescent="0.2">
      <c r="A39" s="10" t="str">
        <f>_xlfn.XLOOKUP(B39,'Semestre 1'!$D$3:$D$20,'Semestre 1'!$B$3:$B$20,"introuvable")</f>
        <v xml:space="preserve">Découverte des données de l’environnement entrepreneurial et économique </v>
      </c>
      <c r="B39" s="10" t="s">
        <v>90</v>
      </c>
      <c r="C39" s="11" t="s">
        <v>19</v>
      </c>
      <c r="D39" s="10">
        <f>_xlfn.XLOOKUP(B39,'Semestre 1'!$D$3:$D$20,'Semestre 1'!$C$3:$C$20,"introuvable")</f>
        <v>25</v>
      </c>
      <c r="E39" s="10">
        <f>IFERROR(IFERROR(SUMIFS('Base de données'!$G:$G, 'Base de données'!A:A, BD_etu_notes_S1_C3!C39, 'Base de données'!$C:$C, BD_etu_notes_S1_C3!A39), 0) / IFERROR(SUMIFS('Base de données'!$E:$E, 'Base de données'!A:A, BD_etu_notes_S1_C3!C39, 'Base de données'!$C:$C, BD_etu_notes_S1_C3!A39), 0),0)</f>
        <v>0</v>
      </c>
    </row>
    <row r="40" spans="1:5" ht="16" x14ac:dyDescent="0.2">
      <c r="A40" s="10" t="str">
        <f>_xlfn.XLOOKUP(B40,'Semestre 1'!$D$3:$D$20,'Semestre 1'!$B$3:$B$20,"introuvable")</f>
        <v xml:space="preserve">Découverte des données de l’environnement entrepreneurial et économique </v>
      </c>
      <c r="B40" s="10" t="s">
        <v>90</v>
      </c>
      <c r="C40" s="11" t="s">
        <v>21</v>
      </c>
      <c r="D40" s="10">
        <f>_xlfn.XLOOKUP(B40,'Semestre 1'!$D$3:$D$20,'Semestre 1'!$C$3:$C$20,"introuvable")</f>
        <v>25</v>
      </c>
      <c r="E40" s="10">
        <f>IFERROR(IFERROR(SUMIFS('Base de données'!$G:$G, 'Base de données'!A:A, BD_etu_notes_S1_C3!C40, 'Base de données'!$C:$C, BD_etu_notes_S1_C3!A40), 0) / IFERROR(SUMIFS('Base de données'!$E:$E, 'Base de données'!A:A, BD_etu_notes_S1_C3!C40, 'Base de données'!$C:$C, BD_etu_notes_S1_C3!A40), 0),0)</f>
        <v>0</v>
      </c>
    </row>
    <row r="41" spans="1:5" ht="16" x14ac:dyDescent="0.2">
      <c r="A41" s="10" t="str">
        <f>_xlfn.XLOOKUP(B41,'Semestre 1'!$D$3:$D$20,'Semestre 1'!$B$3:$B$20,"introuvable")</f>
        <v xml:space="preserve">Découverte des données de l’environnement entrepreneurial et économique </v>
      </c>
      <c r="B41" s="10" t="s">
        <v>90</v>
      </c>
      <c r="C41" s="11" t="s">
        <v>24</v>
      </c>
      <c r="D41" s="10">
        <f>_xlfn.XLOOKUP(B41,'Semestre 1'!$D$3:$D$20,'Semestre 1'!$C$3:$C$20,"introuvable")</f>
        <v>25</v>
      </c>
      <c r="E41" s="10">
        <f>IFERROR(IFERROR(SUMIFS('Base de données'!$G:$G, 'Base de données'!A:A, BD_etu_notes_S1_C3!C41, 'Base de données'!$C:$C, BD_etu_notes_S1_C3!A41), 0) / IFERROR(SUMIFS('Base de données'!$E:$E, 'Base de données'!A:A, BD_etu_notes_S1_C3!C41, 'Base de données'!$C:$C, BD_etu_notes_S1_C3!A41), 0),0)</f>
        <v>0</v>
      </c>
    </row>
    <row r="42" spans="1:5" ht="16" x14ac:dyDescent="0.2">
      <c r="A42" s="10" t="str">
        <f>_xlfn.XLOOKUP(B42,'Semestre 1'!$D$3:$D$20,'Semestre 1'!$B$3:$B$20,"introuvable")</f>
        <v xml:space="preserve">Découverte des données de l’environnement entrepreneurial et économique </v>
      </c>
      <c r="B42" s="10" t="s">
        <v>90</v>
      </c>
      <c r="C42" s="11" t="s">
        <v>26</v>
      </c>
      <c r="D42" s="10">
        <f>_xlfn.XLOOKUP(B42,'Semestre 1'!$D$3:$D$20,'Semestre 1'!$C$3:$C$20,"introuvable")</f>
        <v>25</v>
      </c>
      <c r="E42" s="10">
        <f>IFERROR(IFERROR(SUMIFS('Base de données'!$G:$G, 'Base de données'!A:A, BD_etu_notes_S1_C3!C42, 'Base de données'!$C:$C, BD_etu_notes_S1_C3!A42), 0) / IFERROR(SUMIFS('Base de données'!$E:$E, 'Base de données'!A:A, BD_etu_notes_S1_C3!C42, 'Base de données'!$C:$C, BD_etu_notes_S1_C3!A42), 0),0)</f>
        <v>0</v>
      </c>
    </row>
    <row r="43" spans="1:5" ht="16" x14ac:dyDescent="0.2">
      <c r="A43" s="10" t="str">
        <f>_xlfn.XLOOKUP(B43,'Semestre 1'!$D$3:$D$20,'Semestre 1'!$B$3:$B$20,"introuvable")</f>
        <v xml:space="preserve">Découverte des données de l’environnement entrepreneurial et économique </v>
      </c>
      <c r="B43" s="10" t="s">
        <v>90</v>
      </c>
      <c r="C43" s="11" t="s">
        <v>29</v>
      </c>
      <c r="D43" s="10">
        <f>_xlfn.XLOOKUP(B43,'Semestre 1'!$D$3:$D$20,'Semestre 1'!$C$3:$C$20,"introuvable")</f>
        <v>25</v>
      </c>
      <c r="E43" s="10">
        <f>IFERROR(IFERROR(SUMIFS('Base de données'!$G:$G, 'Base de données'!A:A, BD_etu_notes_S1_C3!C43, 'Base de données'!$C:$C, BD_etu_notes_S1_C3!A43), 0) / IFERROR(SUMIFS('Base de données'!$E:$E, 'Base de données'!A:A, BD_etu_notes_S1_C3!C43, 'Base de données'!$C:$C, BD_etu_notes_S1_C3!A43), 0),0)</f>
        <v>0</v>
      </c>
    </row>
    <row r="44" spans="1:5" ht="16" x14ac:dyDescent="0.2">
      <c r="A44" s="10" t="str">
        <f>_xlfn.XLOOKUP(B44,'Semestre 1'!$D$3:$D$20,'Semestre 1'!$B$3:$B$20,"introuvable")</f>
        <v>SAÉ - Apprendre en situation la production de données en entreprise</v>
      </c>
      <c r="B44" s="10" t="s">
        <v>92</v>
      </c>
      <c r="C44" s="11" t="s">
        <v>5</v>
      </c>
      <c r="D44" s="10">
        <f>_xlfn.XLOOKUP(B44,'Semestre 1'!$D$3:$D$20,'Semestre 1'!$C$3:$C$20,"introuvable")</f>
        <v>15</v>
      </c>
      <c r="E44" s="10">
        <f>IFERROR(IFERROR(SUMIFS('Base de données'!$G:$G, 'Base de données'!A:A, BD_etu_notes_S1_C3!C44, 'Base de données'!$C:$C, BD_etu_notes_S1_C3!A44), 0) / IFERROR(SUMIFS('Base de données'!$E:$E, 'Base de données'!A:A, BD_etu_notes_S1_C3!C44, 'Base de données'!$C:$C, BD_etu_notes_S1_C3!A44), 0),0)</f>
        <v>0</v>
      </c>
    </row>
    <row r="45" spans="1:5" ht="16" x14ac:dyDescent="0.2">
      <c r="A45" s="10" t="str">
        <f>_xlfn.XLOOKUP(B45,'Semestre 1'!$D$3:$D$20,'Semestre 1'!$B$3:$B$20,"introuvable")</f>
        <v>SAÉ - Apprendre en situation la production de données en entreprise</v>
      </c>
      <c r="B45" s="10" t="s">
        <v>92</v>
      </c>
      <c r="C45" s="11" t="s">
        <v>9</v>
      </c>
      <c r="D45" s="10">
        <f>_xlfn.XLOOKUP(B45,'Semestre 1'!$D$3:$D$20,'Semestre 1'!$C$3:$C$20,"introuvable")</f>
        <v>15</v>
      </c>
      <c r="E45" s="10">
        <f>IFERROR(IFERROR(SUMIFS('Base de données'!$G:$G, 'Base de données'!A:A, BD_etu_notes_S1_C3!C45, 'Base de données'!$C:$C, BD_etu_notes_S1_C3!A45), 0) / IFERROR(SUMIFS('Base de données'!$E:$E, 'Base de données'!A:A, BD_etu_notes_S1_C3!C45, 'Base de données'!$C:$C, BD_etu_notes_S1_C3!A45), 0),0)</f>
        <v>0</v>
      </c>
    </row>
    <row r="46" spans="1:5" ht="16" x14ac:dyDescent="0.2">
      <c r="A46" s="10" t="str">
        <f>_xlfn.XLOOKUP(B46,'Semestre 1'!$D$3:$D$20,'Semestre 1'!$B$3:$B$20,"introuvable")</f>
        <v>SAÉ - Apprendre en situation la production de données en entreprise</v>
      </c>
      <c r="B46" s="10" t="s">
        <v>92</v>
      </c>
      <c r="C46" s="11" t="s">
        <v>11</v>
      </c>
      <c r="D46" s="10">
        <f>_xlfn.XLOOKUP(B46,'Semestre 1'!$D$3:$D$20,'Semestre 1'!$C$3:$C$20,"introuvable")</f>
        <v>15</v>
      </c>
      <c r="E46" s="10">
        <f>IFERROR(IFERROR(SUMIFS('Base de données'!$G:$G, 'Base de données'!A:A, BD_etu_notes_S1_C3!C46, 'Base de données'!$C:$C, BD_etu_notes_S1_C3!A46), 0) / IFERROR(SUMIFS('Base de données'!$E:$E, 'Base de données'!A:A, BD_etu_notes_S1_C3!C46, 'Base de données'!$C:$C, BD_etu_notes_S1_C3!A46), 0),0)</f>
        <v>0</v>
      </c>
    </row>
    <row r="47" spans="1:5" ht="16" x14ac:dyDescent="0.2">
      <c r="A47" s="10" t="str">
        <f>_xlfn.XLOOKUP(B47,'Semestre 1'!$D$3:$D$20,'Semestre 1'!$B$3:$B$20,"introuvable")</f>
        <v>SAÉ - Apprendre en situation la production de données en entreprise</v>
      </c>
      <c r="B47" s="10" t="s">
        <v>92</v>
      </c>
      <c r="C47" s="11" t="s">
        <v>14</v>
      </c>
      <c r="D47" s="10">
        <f>_xlfn.XLOOKUP(B47,'Semestre 1'!$D$3:$D$20,'Semestre 1'!$C$3:$C$20,"introuvable")</f>
        <v>15</v>
      </c>
      <c r="E47" s="10">
        <f>IFERROR(IFERROR(SUMIFS('Base de données'!$G:$G, 'Base de données'!A:A, BD_etu_notes_S1_C3!C47, 'Base de données'!$C:$C, BD_etu_notes_S1_C3!A47), 0) / IFERROR(SUMIFS('Base de données'!$E:$E, 'Base de données'!A:A, BD_etu_notes_S1_C3!C47, 'Base de données'!$C:$C, BD_etu_notes_S1_C3!A47), 0),0)</f>
        <v>0</v>
      </c>
    </row>
    <row r="48" spans="1:5" ht="16" x14ac:dyDescent="0.2">
      <c r="A48" s="10" t="str">
        <f>_xlfn.XLOOKUP(B48,'Semestre 1'!$D$3:$D$20,'Semestre 1'!$B$3:$B$20,"introuvable")</f>
        <v>SAÉ - Apprendre en situation la production de données en entreprise</v>
      </c>
      <c r="B48" s="10" t="s">
        <v>92</v>
      </c>
      <c r="C48" s="11" t="s">
        <v>16</v>
      </c>
      <c r="D48" s="10">
        <f>_xlfn.XLOOKUP(B48,'Semestre 1'!$D$3:$D$20,'Semestre 1'!$C$3:$C$20,"introuvable")</f>
        <v>15</v>
      </c>
      <c r="E48" s="10">
        <f>IFERROR(IFERROR(SUMIFS('Base de données'!$G:$G, 'Base de données'!A:A, BD_etu_notes_S1_C3!C48, 'Base de données'!$C:$C, BD_etu_notes_S1_C3!A48), 0) / IFERROR(SUMIFS('Base de données'!$E:$E, 'Base de données'!A:A, BD_etu_notes_S1_C3!C48, 'Base de données'!$C:$C, BD_etu_notes_S1_C3!A48), 0),0)</f>
        <v>0</v>
      </c>
    </row>
    <row r="49" spans="1:5" ht="16" x14ac:dyDescent="0.2">
      <c r="A49" s="10" t="str">
        <f>_xlfn.XLOOKUP(B49,'Semestre 1'!$D$3:$D$20,'Semestre 1'!$B$3:$B$20,"introuvable")</f>
        <v>SAÉ - Apprendre en situation la production de données en entreprise</v>
      </c>
      <c r="B49" s="10" t="s">
        <v>92</v>
      </c>
      <c r="C49" s="11" t="s">
        <v>19</v>
      </c>
      <c r="D49" s="10">
        <f>_xlfn.XLOOKUP(B49,'Semestre 1'!$D$3:$D$20,'Semestre 1'!$C$3:$C$20,"introuvable")</f>
        <v>15</v>
      </c>
      <c r="E49" s="10">
        <f>IFERROR(IFERROR(SUMIFS('Base de données'!$G:$G, 'Base de données'!A:A, BD_etu_notes_S1_C3!C49, 'Base de données'!$C:$C, BD_etu_notes_S1_C3!A49), 0) / IFERROR(SUMIFS('Base de données'!$E:$E, 'Base de données'!A:A, BD_etu_notes_S1_C3!C49, 'Base de données'!$C:$C, BD_etu_notes_S1_C3!A49), 0),0)</f>
        <v>0</v>
      </c>
    </row>
    <row r="50" spans="1:5" ht="16" x14ac:dyDescent="0.2">
      <c r="A50" s="10" t="str">
        <f>_xlfn.XLOOKUP(B50,'Semestre 1'!$D$3:$D$20,'Semestre 1'!$B$3:$B$20,"introuvable")</f>
        <v>SAÉ - Apprendre en situation la production de données en entreprise</v>
      </c>
      <c r="B50" s="10" t="s">
        <v>92</v>
      </c>
      <c r="C50" s="11" t="s">
        <v>21</v>
      </c>
      <c r="D50" s="10">
        <f>_xlfn.XLOOKUP(B50,'Semestre 1'!$D$3:$D$20,'Semestre 1'!$C$3:$C$20,"introuvable")</f>
        <v>15</v>
      </c>
      <c r="E50" s="10">
        <f>IFERROR(IFERROR(SUMIFS('Base de données'!$G:$G, 'Base de données'!A:A, BD_etu_notes_S1_C3!C50, 'Base de données'!$C:$C, BD_etu_notes_S1_C3!A50), 0) / IFERROR(SUMIFS('Base de données'!$E:$E, 'Base de données'!A:A, BD_etu_notes_S1_C3!C50, 'Base de données'!$C:$C, BD_etu_notes_S1_C3!A50), 0),0)</f>
        <v>0</v>
      </c>
    </row>
    <row r="51" spans="1:5" ht="16" x14ac:dyDescent="0.2">
      <c r="A51" s="10" t="str">
        <f>_xlfn.XLOOKUP(B51,'Semestre 1'!$D$3:$D$20,'Semestre 1'!$B$3:$B$20,"introuvable")</f>
        <v>SAÉ - Apprendre en situation la production de données en entreprise</v>
      </c>
      <c r="B51" s="10" t="s">
        <v>92</v>
      </c>
      <c r="C51" s="11" t="s">
        <v>24</v>
      </c>
      <c r="D51" s="10">
        <f>_xlfn.XLOOKUP(B51,'Semestre 1'!$D$3:$D$20,'Semestre 1'!$C$3:$C$20,"introuvable")</f>
        <v>15</v>
      </c>
      <c r="E51" s="10">
        <f>IFERROR(IFERROR(SUMIFS('Base de données'!$G:$G, 'Base de données'!A:A, BD_etu_notes_S1_C3!C51, 'Base de données'!$C:$C, BD_etu_notes_S1_C3!A51), 0) / IFERROR(SUMIFS('Base de données'!$E:$E, 'Base de données'!A:A, BD_etu_notes_S1_C3!C51, 'Base de données'!$C:$C, BD_etu_notes_S1_C3!A51), 0),0)</f>
        <v>0</v>
      </c>
    </row>
    <row r="52" spans="1:5" ht="16" x14ac:dyDescent="0.2">
      <c r="A52" s="10" t="str">
        <f>_xlfn.XLOOKUP(B52,'Semestre 1'!$D$3:$D$20,'Semestre 1'!$B$3:$B$20,"introuvable")</f>
        <v>SAÉ - Apprendre en situation la production de données en entreprise</v>
      </c>
      <c r="B52" s="10" t="s">
        <v>92</v>
      </c>
      <c r="C52" s="11" t="s">
        <v>26</v>
      </c>
      <c r="D52" s="10">
        <f>_xlfn.XLOOKUP(B52,'Semestre 1'!$D$3:$D$20,'Semestre 1'!$C$3:$C$20,"introuvable")</f>
        <v>15</v>
      </c>
      <c r="E52" s="10">
        <f>IFERROR(IFERROR(SUMIFS('Base de données'!$G:$G, 'Base de données'!A:A, BD_etu_notes_S1_C3!C52, 'Base de données'!$C:$C, BD_etu_notes_S1_C3!A52), 0) / IFERROR(SUMIFS('Base de données'!$E:$E, 'Base de données'!A:A, BD_etu_notes_S1_C3!C52, 'Base de données'!$C:$C, BD_etu_notes_S1_C3!A52), 0),0)</f>
        <v>0</v>
      </c>
    </row>
    <row r="53" spans="1:5" ht="16" x14ac:dyDescent="0.2">
      <c r="A53" s="10" t="str">
        <f>_xlfn.XLOOKUP(B53,'Semestre 1'!$D$3:$D$20,'Semestre 1'!$B$3:$B$20,"introuvable")</f>
        <v>SAÉ - Apprendre en situation la production de données en entreprise</v>
      </c>
      <c r="B53" s="10" t="s">
        <v>92</v>
      </c>
      <c r="C53" s="11" t="s">
        <v>29</v>
      </c>
      <c r="D53" s="10">
        <f>_xlfn.XLOOKUP(B53,'Semestre 1'!$D$3:$D$20,'Semestre 1'!$C$3:$C$20,"introuvable")</f>
        <v>15</v>
      </c>
      <c r="E53" s="10">
        <f>IFERROR(IFERROR(SUMIFS('Base de données'!$G:$G, 'Base de données'!A:A, BD_etu_notes_S1_C3!C53, 'Base de données'!$C:$C, BD_etu_notes_S1_C3!A53), 0) / IFERROR(SUMIFS('Base de données'!$E:$E, 'Base de données'!A:A, BD_etu_notes_S1_C3!C53, 'Base de données'!$C:$C, BD_etu_notes_S1_C3!A53), 0),0)</f>
        <v>0</v>
      </c>
    </row>
    <row r="54" spans="1:5" ht="16" x14ac:dyDescent="0.2">
      <c r="A54" s="10" t="str">
        <f>_xlfn.XLOOKUP(B54,'Semestre 1'!$D$3:$D$20,'Semestre 1'!$B$3:$B$20,"introuvable")</f>
        <v>SAÉ - Présentation en anglais d'un territoire économique et culturel</v>
      </c>
      <c r="B54" s="10" t="s">
        <v>94</v>
      </c>
      <c r="C54" s="11" t="s">
        <v>5</v>
      </c>
      <c r="D54" s="10">
        <f>_xlfn.XLOOKUP(B54,'Semestre 1'!$D$3:$D$20,'Semestre 1'!$C$3:$C$20,"introuvable")</f>
        <v>10</v>
      </c>
      <c r="E54" s="10">
        <f>IFERROR(IFERROR(SUMIFS('Base de données'!$G:$G, 'Base de données'!A:A, BD_etu_notes_S1_C3!C54, 'Base de données'!$C:$C, BD_etu_notes_S1_C3!A54), 0) / IFERROR(SUMIFS('Base de données'!$E:$E, 'Base de données'!A:A, BD_etu_notes_S1_C3!C54, 'Base de données'!$C:$C, BD_etu_notes_S1_C3!A54), 0),0)</f>
        <v>0</v>
      </c>
    </row>
    <row r="55" spans="1:5" ht="16" x14ac:dyDescent="0.2">
      <c r="A55" s="10" t="str">
        <f>_xlfn.XLOOKUP(B55,'Semestre 1'!$D$3:$D$20,'Semestre 1'!$B$3:$B$20,"introuvable")</f>
        <v>SAÉ - Présentation en anglais d'un territoire économique et culturel</v>
      </c>
      <c r="B55" s="10" t="s">
        <v>94</v>
      </c>
      <c r="C55" s="11" t="s">
        <v>9</v>
      </c>
      <c r="D55" s="10">
        <f>_xlfn.XLOOKUP(B55,'Semestre 1'!$D$3:$D$20,'Semestre 1'!$C$3:$C$20,"introuvable")</f>
        <v>10</v>
      </c>
      <c r="E55" s="10">
        <f>IFERROR(IFERROR(SUMIFS('Base de données'!$G:$G, 'Base de données'!A:A, BD_etu_notes_S1_C3!C55, 'Base de données'!$C:$C, BD_etu_notes_S1_C3!A55), 0) / IFERROR(SUMIFS('Base de données'!$E:$E, 'Base de données'!A:A, BD_etu_notes_S1_C3!C55, 'Base de données'!$C:$C, BD_etu_notes_S1_C3!A55), 0),0)</f>
        <v>0</v>
      </c>
    </row>
    <row r="56" spans="1:5" ht="16" x14ac:dyDescent="0.2">
      <c r="A56" s="10" t="str">
        <f>_xlfn.XLOOKUP(B56,'Semestre 1'!$D$3:$D$20,'Semestre 1'!$B$3:$B$20,"introuvable")</f>
        <v>SAÉ - Présentation en anglais d'un territoire économique et culturel</v>
      </c>
      <c r="B56" s="10" t="s">
        <v>94</v>
      </c>
      <c r="C56" s="11" t="s">
        <v>11</v>
      </c>
      <c r="D56" s="10">
        <f>_xlfn.XLOOKUP(B56,'Semestre 1'!$D$3:$D$20,'Semestre 1'!$C$3:$C$20,"introuvable")</f>
        <v>10</v>
      </c>
      <c r="E56" s="10">
        <f>IFERROR(IFERROR(SUMIFS('Base de données'!$G:$G, 'Base de données'!A:A, BD_etu_notes_S1_C3!C56, 'Base de données'!$C:$C, BD_etu_notes_S1_C3!A56), 0) / IFERROR(SUMIFS('Base de données'!$E:$E, 'Base de données'!A:A, BD_etu_notes_S1_C3!C56, 'Base de données'!$C:$C, BD_etu_notes_S1_C3!A56), 0),0)</f>
        <v>0</v>
      </c>
    </row>
    <row r="57" spans="1:5" ht="16" x14ac:dyDescent="0.2">
      <c r="A57" s="10" t="str">
        <f>_xlfn.XLOOKUP(B57,'Semestre 1'!$D$3:$D$20,'Semestre 1'!$B$3:$B$20,"introuvable")</f>
        <v>SAÉ - Présentation en anglais d'un territoire économique et culturel</v>
      </c>
      <c r="B57" s="10" t="s">
        <v>94</v>
      </c>
      <c r="C57" s="11" t="s">
        <v>14</v>
      </c>
      <c r="D57" s="10">
        <f>_xlfn.XLOOKUP(B57,'Semestre 1'!$D$3:$D$20,'Semestre 1'!$C$3:$C$20,"introuvable")</f>
        <v>10</v>
      </c>
      <c r="E57" s="10">
        <f>IFERROR(IFERROR(SUMIFS('Base de données'!$G:$G, 'Base de données'!A:A, BD_etu_notes_S1_C3!C57, 'Base de données'!$C:$C, BD_etu_notes_S1_C3!A57), 0) / IFERROR(SUMIFS('Base de données'!$E:$E, 'Base de données'!A:A, BD_etu_notes_S1_C3!C57, 'Base de données'!$C:$C, BD_etu_notes_S1_C3!A57), 0),0)</f>
        <v>0</v>
      </c>
    </row>
    <row r="58" spans="1:5" ht="16" x14ac:dyDescent="0.2">
      <c r="A58" s="10" t="str">
        <f>_xlfn.XLOOKUP(B58,'Semestre 1'!$D$3:$D$20,'Semestre 1'!$B$3:$B$20,"introuvable")</f>
        <v>SAÉ - Présentation en anglais d'un territoire économique et culturel</v>
      </c>
      <c r="B58" s="10" t="s">
        <v>94</v>
      </c>
      <c r="C58" s="11" t="s">
        <v>16</v>
      </c>
      <c r="D58" s="10">
        <f>_xlfn.XLOOKUP(B58,'Semestre 1'!$D$3:$D$20,'Semestre 1'!$C$3:$C$20,"introuvable")</f>
        <v>10</v>
      </c>
      <c r="E58" s="10">
        <f>IFERROR(IFERROR(SUMIFS('Base de données'!$G:$G, 'Base de données'!A:A, BD_etu_notes_S1_C3!C58, 'Base de données'!$C:$C, BD_etu_notes_S1_C3!A58), 0) / IFERROR(SUMIFS('Base de données'!$E:$E, 'Base de données'!A:A, BD_etu_notes_S1_C3!C58, 'Base de données'!$C:$C, BD_etu_notes_S1_C3!A58), 0),0)</f>
        <v>0</v>
      </c>
    </row>
    <row r="59" spans="1:5" ht="16" x14ac:dyDescent="0.2">
      <c r="A59" s="10" t="str">
        <f>_xlfn.XLOOKUP(B59,'Semestre 1'!$D$3:$D$20,'Semestre 1'!$B$3:$B$20,"introuvable")</f>
        <v>SAÉ - Présentation en anglais d'un territoire économique et culturel</v>
      </c>
      <c r="B59" s="10" t="s">
        <v>94</v>
      </c>
      <c r="C59" s="11" t="s">
        <v>19</v>
      </c>
      <c r="D59" s="10">
        <f>_xlfn.XLOOKUP(B59,'Semestre 1'!$D$3:$D$20,'Semestre 1'!$C$3:$C$20,"introuvable")</f>
        <v>10</v>
      </c>
      <c r="E59" s="10">
        <f>IFERROR(IFERROR(SUMIFS('Base de données'!$G:$G, 'Base de données'!A:A, BD_etu_notes_S1_C3!C59, 'Base de données'!$C:$C, BD_etu_notes_S1_C3!A59), 0) / IFERROR(SUMIFS('Base de données'!$E:$E, 'Base de données'!A:A, BD_etu_notes_S1_C3!C59, 'Base de données'!$C:$C, BD_etu_notes_S1_C3!A59), 0),0)</f>
        <v>0</v>
      </c>
    </row>
    <row r="60" spans="1:5" ht="16" x14ac:dyDescent="0.2">
      <c r="A60" s="10" t="str">
        <f>_xlfn.XLOOKUP(B60,'Semestre 1'!$D$3:$D$20,'Semestre 1'!$B$3:$B$20,"introuvable")</f>
        <v>SAÉ - Présentation en anglais d'un territoire économique et culturel</v>
      </c>
      <c r="B60" s="10" t="s">
        <v>94</v>
      </c>
      <c r="C60" s="11" t="s">
        <v>21</v>
      </c>
      <c r="D60" s="10">
        <f>_xlfn.XLOOKUP(B60,'Semestre 1'!$D$3:$D$20,'Semestre 1'!$C$3:$C$20,"introuvable")</f>
        <v>10</v>
      </c>
      <c r="E60" s="10">
        <f>IFERROR(IFERROR(SUMIFS('Base de données'!$G:$G, 'Base de données'!A:A, BD_etu_notes_S1_C3!C60, 'Base de données'!$C:$C, BD_etu_notes_S1_C3!A60), 0) / IFERROR(SUMIFS('Base de données'!$E:$E, 'Base de données'!A:A, BD_etu_notes_S1_C3!C60, 'Base de données'!$C:$C, BD_etu_notes_S1_C3!A60), 0),0)</f>
        <v>0</v>
      </c>
    </row>
    <row r="61" spans="1:5" ht="16" x14ac:dyDescent="0.2">
      <c r="A61" s="10" t="str">
        <f>_xlfn.XLOOKUP(B61,'Semestre 1'!$D$3:$D$20,'Semestre 1'!$B$3:$B$20,"introuvable")</f>
        <v>SAÉ - Présentation en anglais d'un territoire économique et culturel</v>
      </c>
      <c r="B61" s="10" t="s">
        <v>94</v>
      </c>
      <c r="C61" s="11" t="s">
        <v>24</v>
      </c>
      <c r="D61" s="10">
        <f>_xlfn.XLOOKUP(B61,'Semestre 1'!$D$3:$D$20,'Semestre 1'!$C$3:$C$20,"introuvable")</f>
        <v>10</v>
      </c>
      <c r="E61" s="10">
        <f>IFERROR(IFERROR(SUMIFS('Base de données'!$G:$G, 'Base de données'!A:A, BD_etu_notes_S1_C3!C61, 'Base de données'!$C:$C, BD_etu_notes_S1_C3!A61), 0) / IFERROR(SUMIFS('Base de données'!$E:$E, 'Base de données'!A:A, BD_etu_notes_S1_C3!C61, 'Base de données'!$C:$C, BD_etu_notes_S1_C3!A61), 0),0)</f>
        <v>0</v>
      </c>
    </row>
    <row r="62" spans="1:5" ht="16" x14ac:dyDescent="0.2">
      <c r="A62" s="10" t="str">
        <f>_xlfn.XLOOKUP(B62,'Semestre 1'!$D$3:$D$20,'Semestre 1'!$B$3:$B$20,"introuvable")</f>
        <v>SAÉ - Présentation en anglais d'un territoire économique et culturel</v>
      </c>
      <c r="B62" s="10" t="s">
        <v>94</v>
      </c>
      <c r="C62" s="11" t="s">
        <v>26</v>
      </c>
      <c r="D62" s="10">
        <f>_xlfn.XLOOKUP(B62,'Semestre 1'!$D$3:$D$20,'Semestre 1'!$C$3:$C$20,"introuvable")</f>
        <v>10</v>
      </c>
      <c r="E62" s="10">
        <f>IFERROR(IFERROR(SUMIFS('Base de données'!$G:$G, 'Base de données'!A:A, BD_etu_notes_S1_C3!C62, 'Base de données'!$C:$C, BD_etu_notes_S1_C3!A62), 0) / IFERROR(SUMIFS('Base de données'!$E:$E, 'Base de données'!A:A, BD_etu_notes_S1_C3!C62, 'Base de données'!$C:$C, BD_etu_notes_S1_C3!A62), 0),0)</f>
        <v>0</v>
      </c>
    </row>
    <row r="63" spans="1:5" ht="16" x14ac:dyDescent="0.2">
      <c r="A63" s="10" t="str">
        <f>_xlfn.XLOOKUP(B63,'Semestre 1'!$D$3:$D$20,'Semestre 1'!$B$3:$B$20,"introuvable")</f>
        <v>SAÉ - Présentation en anglais d'un territoire économique et culturel</v>
      </c>
      <c r="B63" s="10" t="s">
        <v>94</v>
      </c>
      <c r="C63" s="11" t="s">
        <v>29</v>
      </c>
      <c r="D63" s="10">
        <f>_xlfn.XLOOKUP(B63,'Semestre 1'!$D$3:$D$20,'Semestre 1'!$C$3:$C$20,"introuvable")</f>
        <v>10</v>
      </c>
      <c r="E63" s="10">
        <f>IFERROR(IFERROR(SUMIFS('Base de données'!$G:$G, 'Base de données'!A:A, BD_etu_notes_S1_C3!C63, 'Base de données'!$C:$C, BD_etu_notes_S1_C3!A63), 0) / IFERROR(SUMIFS('Base de données'!$E:$E, 'Base de données'!A:A, BD_etu_notes_S1_C3!C63, 'Base de données'!$C:$C, BD_etu_notes_S1_C3!A63), 0),0)</f>
        <v>0</v>
      </c>
    </row>
    <row r="64" spans="1:5" ht="16" x14ac:dyDescent="0.2">
      <c r="A64" s="10" t="str">
        <f>_xlfn.XLOOKUP(B64,'Semestre 1'!$D$3:$D$20,'Semestre 1'!$B$3:$B$20,"introuvable")</f>
        <v>SAÉ - Mise en oeuvre d'une enquête</v>
      </c>
      <c r="B64" s="10" t="s">
        <v>96</v>
      </c>
      <c r="C64" s="11" t="s">
        <v>5</v>
      </c>
      <c r="D64" s="10">
        <f>_xlfn.XLOOKUP(B64,'Semestre 1'!$D$3:$D$20,'Semestre 1'!$C$3:$C$20,"introuvable")</f>
        <v>15</v>
      </c>
      <c r="E64" s="10">
        <f>IFERROR(IFERROR(SUMIFS('Base de données'!$G:$G, 'Base de données'!A:A, BD_etu_notes_S1_C3!C64, 'Base de données'!$C:$C, BD_etu_notes_S1_C3!A64), 0) / IFERROR(SUMIFS('Base de données'!$E:$E, 'Base de données'!A:A, BD_etu_notes_S1_C3!C64, 'Base de données'!$C:$C, BD_etu_notes_S1_C3!A64), 0),0)</f>
        <v>0</v>
      </c>
    </row>
    <row r="65" spans="1:5" ht="16" x14ac:dyDescent="0.2">
      <c r="A65" s="10" t="str">
        <f>_xlfn.XLOOKUP(B65,'Semestre 1'!$D$3:$D$20,'Semestre 1'!$B$3:$B$20,"introuvable")</f>
        <v>SAÉ - Mise en oeuvre d'une enquête</v>
      </c>
      <c r="B65" s="10" t="s">
        <v>96</v>
      </c>
      <c r="C65" s="11" t="s">
        <v>9</v>
      </c>
      <c r="D65" s="10">
        <f>_xlfn.XLOOKUP(B65,'Semestre 1'!$D$3:$D$20,'Semestre 1'!$C$3:$C$20,"introuvable")</f>
        <v>15</v>
      </c>
      <c r="E65" s="10">
        <f>IFERROR(IFERROR(SUMIFS('Base de données'!$G:$G, 'Base de données'!A:A, BD_etu_notes_S1_C3!C65, 'Base de données'!$C:$C, BD_etu_notes_S1_C3!A65), 0) / IFERROR(SUMIFS('Base de données'!$E:$E, 'Base de données'!A:A, BD_etu_notes_S1_C3!C65, 'Base de données'!$C:$C, BD_etu_notes_S1_C3!A65), 0),0)</f>
        <v>0</v>
      </c>
    </row>
    <row r="66" spans="1:5" ht="16" x14ac:dyDescent="0.2">
      <c r="A66" s="10" t="str">
        <f>_xlfn.XLOOKUP(B66,'Semestre 1'!$D$3:$D$20,'Semestre 1'!$B$3:$B$20,"introuvable")</f>
        <v>SAÉ - Mise en oeuvre d'une enquête</v>
      </c>
      <c r="B66" s="10" t="s">
        <v>96</v>
      </c>
      <c r="C66" s="11" t="s">
        <v>11</v>
      </c>
      <c r="D66" s="10">
        <f>_xlfn.XLOOKUP(B66,'Semestre 1'!$D$3:$D$20,'Semestre 1'!$C$3:$C$20,"introuvable")</f>
        <v>15</v>
      </c>
      <c r="E66" s="10">
        <f>IFERROR(IFERROR(SUMIFS('Base de données'!$G:$G, 'Base de données'!A:A, BD_etu_notes_S1_C3!C66, 'Base de données'!$C:$C, BD_etu_notes_S1_C3!A66), 0) / IFERROR(SUMIFS('Base de données'!$E:$E, 'Base de données'!A:A, BD_etu_notes_S1_C3!C66, 'Base de données'!$C:$C, BD_etu_notes_S1_C3!A66), 0),0)</f>
        <v>0</v>
      </c>
    </row>
    <row r="67" spans="1:5" ht="16" x14ac:dyDescent="0.2">
      <c r="A67" s="10" t="str">
        <f>_xlfn.XLOOKUP(B67,'Semestre 1'!$D$3:$D$20,'Semestre 1'!$B$3:$B$20,"introuvable")</f>
        <v>SAÉ - Mise en oeuvre d'une enquête</v>
      </c>
      <c r="B67" s="10" t="s">
        <v>96</v>
      </c>
      <c r="C67" s="11" t="s">
        <v>14</v>
      </c>
      <c r="D67" s="10">
        <f>_xlfn.XLOOKUP(B67,'Semestre 1'!$D$3:$D$20,'Semestre 1'!$C$3:$C$20,"introuvable")</f>
        <v>15</v>
      </c>
      <c r="E67" s="10">
        <f>IFERROR(IFERROR(SUMIFS('Base de données'!$G:$G, 'Base de données'!A:A, BD_etu_notes_S1_C3!C67, 'Base de données'!$C:$C, BD_etu_notes_S1_C3!A67), 0) / IFERROR(SUMIFS('Base de données'!$E:$E, 'Base de données'!A:A, BD_etu_notes_S1_C3!C67, 'Base de données'!$C:$C, BD_etu_notes_S1_C3!A67), 0),0)</f>
        <v>0</v>
      </c>
    </row>
    <row r="68" spans="1:5" ht="16" x14ac:dyDescent="0.2">
      <c r="A68" s="10" t="str">
        <f>_xlfn.XLOOKUP(B68,'Semestre 1'!$D$3:$D$20,'Semestre 1'!$B$3:$B$20,"introuvable")</f>
        <v>SAÉ - Mise en oeuvre d'une enquête</v>
      </c>
      <c r="B68" s="10" t="s">
        <v>96</v>
      </c>
      <c r="C68" s="11" t="s">
        <v>16</v>
      </c>
      <c r="D68" s="10">
        <f>_xlfn.XLOOKUP(B68,'Semestre 1'!$D$3:$D$20,'Semestre 1'!$C$3:$C$20,"introuvable")</f>
        <v>15</v>
      </c>
      <c r="E68" s="10">
        <f>IFERROR(IFERROR(SUMIFS('Base de données'!$G:$G, 'Base de données'!A:A, BD_etu_notes_S1_C3!C68, 'Base de données'!$C:$C, BD_etu_notes_S1_C3!A68), 0) / IFERROR(SUMIFS('Base de données'!$E:$E, 'Base de données'!A:A, BD_etu_notes_S1_C3!C68, 'Base de données'!$C:$C, BD_etu_notes_S1_C3!A68), 0),0)</f>
        <v>0</v>
      </c>
    </row>
    <row r="69" spans="1:5" ht="16" x14ac:dyDescent="0.2">
      <c r="A69" s="10" t="str">
        <f>_xlfn.XLOOKUP(B69,'Semestre 1'!$D$3:$D$20,'Semestre 1'!$B$3:$B$20,"introuvable")</f>
        <v>SAÉ - Mise en oeuvre d'une enquête</v>
      </c>
      <c r="B69" s="10" t="s">
        <v>96</v>
      </c>
      <c r="C69" s="11" t="s">
        <v>19</v>
      </c>
      <c r="D69" s="10">
        <f>_xlfn.XLOOKUP(B69,'Semestre 1'!$D$3:$D$20,'Semestre 1'!$C$3:$C$20,"introuvable")</f>
        <v>15</v>
      </c>
      <c r="E69" s="10">
        <f>IFERROR(IFERROR(SUMIFS('Base de données'!$G:$G, 'Base de données'!A:A, BD_etu_notes_S1_C3!C69, 'Base de données'!$C:$C, BD_etu_notes_S1_C3!A69), 0) / IFERROR(SUMIFS('Base de données'!$E:$E, 'Base de données'!A:A, BD_etu_notes_S1_C3!C69, 'Base de données'!$C:$C, BD_etu_notes_S1_C3!A69), 0),0)</f>
        <v>0</v>
      </c>
    </row>
    <row r="70" spans="1:5" ht="16" x14ac:dyDescent="0.2">
      <c r="A70" s="10" t="str">
        <f>_xlfn.XLOOKUP(B70,'Semestre 1'!$D$3:$D$20,'Semestre 1'!$B$3:$B$20,"introuvable")</f>
        <v>SAÉ - Mise en oeuvre d'une enquête</v>
      </c>
      <c r="B70" s="10" t="s">
        <v>96</v>
      </c>
      <c r="C70" s="11" t="s">
        <v>21</v>
      </c>
      <c r="D70" s="10">
        <f>_xlfn.XLOOKUP(B70,'Semestre 1'!$D$3:$D$20,'Semestre 1'!$C$3:$C$20,"introuvable")</f>
        <v>15</v>
      </c>
      <c r="E70" s="10">
        <f>IFERROR(IFERROR(SUMIFS('Base de données'!$G:$G, 'Base de données'!A:A, BD_etu_notes_S1_C3!C70, 'Base de données'!$C:$C, BD_etu_notes_S1_C3!A70), 0) / IFERROR(SUMIFS('Base de données'!$E:$E, 'Base de données'!A:A, BD_etu_notes_S1_C3!C70, 'Base de données'!$C:$C, BD_etu_notes_S1_C3!A70), 0),0)</f>
        <v>0</v>
      </c>
    </row>
    <row r="71" spans="1:5" ht="16" x14ac:dyDescent="0.2">
      <c r="A71" s="10" t="str">
        <f>_xlfn.XLOOKUP(B71,'Semestre 1'!$D$3:$D$20,'Semestre 1'!$B$3:$B$20,"introuvable")</f>
        <v>SAÉ - Mise en oeuvre d'une enquête</v>
      </c>
      <c r="B71" s="10" t="s">
        <v>96</v>
      </c>
      <c r="C71" s="11" t="s">
        <v>24</v>
      </c>
      <c r="D71" s="10">
        <f>_xlfn.XLOOKUP(B71,'Semestre 1'!$D$3:$D$20,'Semestre 1'!$C$3:$C$20,"introuvable")</f>
        <v>15</v>
      </c>
      <c r="E71" s="10">
        <f>IFERROR(IFERROR(SUMIFS('Base de données'!$G:$G, 'Base de données'!A:A, BD_etu_notes_S1_C3!C71, 'Base de données'!$C:$C, BD_etu_notes_S1_C3!A71), 0) / IFERROR(SUMIFS('Base de données'!$E:$E, 'Base de données'!A:A, BD_etu_notes_S1_C3!C71, 'Base de données'!$C:$C, BD_etu_notes_S1_C3!A71), 0),0)</f>
        <v>0</v>
      </c>
    </row>
    <row r="72" spans="1:5" ht="16" x14ac:dyDescent="0.2">
      <c r="A72" s="10" t="str">
        <f>_xlfn.XLOOKUP(B72,'Semestre 1'!$D$3:$D$20,'Semestre 1'!$B$3:$B$20,"introuvable")</f>
        <v>SAÉ - Mise en oeuvre d'une enquête</v>
      </c>
      <c r="B72" s="10" t="s">
        <v>96</v>
      </c>
      <c r="C72" s="11" t="s">
        <v>26</v>
      </c>
      <c r="D72" s="10">
        <f>_xlfn.XLOOKUP(B72,'Semestre 1'!$D$3:$D$20,'Semestre 1'!$C$3:$C$20,"introuvable")</f>
        <v>15</v>
      </c>
      <c r="E72" s="10">
        <f>IFERROR(IFERROR(SUMIFS('Base de données'!$G:$G, 'Base de données'!A:A, BD_etu_notes_S1_C3!C72, 'Base de données'!$C:$C, BD_etu_notes_S1_C3!A72), 0) / IFERROR(SUMIFS('Base de données'!$E:$E, 'Base de données'!A:A, BD_etu_notes_S1_C3!C72, 'Base de données'!$C:$C, BD_etu_notes_S1_C3!A72), 0),0)</f>
        <v>0</v>
      </c>
    </row>
    <row r="73" spans="1:5" ht="16" x14ac:dyDescent="0.2">
      <c r="A73" s="10" t="str">
        <f>_xlfn.XLOOKUP(B73,'Semestre 1'!$D$3:$D$20,'Semestre 1'!$B$3:$B$20,"introuvable")</f>
        <v>SAÉ - Mise en oeuvre d'une enquête</v>
      </c>
      <c r="B73" s="10" t="s">
        <v>96</v>
      </c>
      <c r="C73" s="11" t="s">
        <v>29</v>
      </c>
      <c r="D73" s="10">
        <f>_xlfn.XLOOKUP(B73,'Semestre 1'!$D$3:$D$20,'Semestre 1'!$C$3:$C$20,"introuvable")</f>
        <v>15</v>
      </c>
      <c r="E73" s="10">
        <f>IFERROR(IFERROR(SUMIFS('Base de données'!$G:$G, 'Base de données'!A:A, BD_etu_notes_S1_C3!C73, 'Base de données'!$C:$C, BD_etu_notes_S1_C3!A73), 0) / IFERROR(SUMIFS('Base de données'!$E:$E, 'Base de données'!A:A, BD_etu_notes_S1_C3!C73, 'Base de données'!$C:$C, BD_etu_notes_S1_C3!A73), 0),0)</f>
        <v>0</v>
      </c>
    </row>
    <row r="74" spans="1:5" ht="16" x14ac:dyDescent="0.2">
      <c r="A74" s="4" t="s">
        <v>85</v>
      </c>
      <c r="B74" s="4" t="s">
        <v>86</v>
      </c>
      <c r="C74" s="4" t="s">
        <v>34</v>
      </c>
      <c r="D74" s="4">
        <v>15</v>
      </c>
      <c r="E74" s="10">
        <f>IFERROR(IFERROR(SUMIFS('Base de données'!$G:$G, 'Base de données'!A:A, BD_etu_notes_S1_C3!C74, 'Base de données'!$C:$C, BD_etu_notes_S1_C3!A74), 0) / IFERROR(SUMIFS('Base de données'!$E:$E, 'Base de données'!A:A, BD_etu_notes_S1_C3!C74, 'Base de données'!$C:$C, BD_etu_notes_S1_C3!A74), 0),0)</f>
        <v>0</v>
      </c>
    </row>
    <row r="75" spans="1:5" ht="16" x14ac:dyDescent="0.2">
      <c r="A75" s="4" t="s">
        <v>87</v>
      </c>
      <c r="B75" s="4" t="s">
        <v>88</v>
      </c>
      <c r="C75" s="4" t="s">
        <v>34</v>
      </c>
      <c r="D75" s="4">
        <v>15</v>
      </c>
      <c r="E75" s="10">
        <f>IFERROR(IFERROR(SUMIFS('Base de données'!$G:$G, 'Base de données'!A:A, BD_etu_notes_S1_C3!C75, 'Base de données'!$C:$C, BD_etu_notes_S1_C3!A75), 0) / IFERROR(SUMIFS('Base de données'!$E:$E, 'Base de données'!A:A, BD_etu_notes_S1_C3!C75, 'Base de données'!$C:$C, BD_etu_notes_S1_C3!A75), 0),0)</f>
        <v>0</v>
      </c>
    </row>
    <row r="76" spans="1:5" ht="16" x14ac:dyDescent="0.2">
      <c r="A76" s="4" t="s">
        <v>89</v>
      </c>
      <c r="B76" s="4" t="s">
        <v>90</v>
      </c>
      <c r="C76" s="4" t="s">
        <v>34</v>
      </c>
      <c r="D76" s="4">
        <v>25</v>
      </c>
      <c r="E76" s="10">
        <f>IFERROR(IFERROR(SUMIFS('Base de données'!$G:$G, 'Base de données'!A:A, BD_etu_notes_S1_C3!C76, 'Base de données'!$C:$C, BD_etu_notes_S1_C3!A76), 0) / IFERROR(SUMIFS('Base de données'!$E:$E, 'Base de données'!A:A, BD_etu_notes_S1_C3!C76, 'Base de données'!$C:$C, BD_etu_notes_S1_C3!A76), 0),0)</f>
        <v>0</v>
      </c>
    </row>
    <row r="77" spans="1:5" ht="16" x14ac:dyDescent="0.2">
      <c r="A77" s="4" t="s">
        <v>51</v>
      </c>
      <c r="B77" s="4" t="s">
        <v>71</v>
      </c>
      <c r="C77" s="4" t="s">
        <v>34</v>
      </c>
      <c r="D77" s="4">
        <v>5</v>
      </c>
      <c r="E77" s="10">
        <f>IFERROR(IFERROR(SUMIFS('Base de données'!$G:$G, 'Base de données'!A:A, BD_etu_notes_S1_C3!C77, 'Base de données'!$C:$C, BD_etu_notes_S1_C3!A77), 0) / IFERROR(SUMIFS('Base de données'!$E:$E, 'Base de données'!A:A, BD_etu_notes_S1_C3!C77, 'Base de données'!$C:$C, BD_etu_notes_S1_C3!A77), 0),0)</f>
        <v>0</v>
      </c>
    </row>
    <row r="78" spans="1:5" ht="16" x14ac:dyDescent="0.2">
      <c r="A78" s="4" t="s">
        <v>91</v>
      </c>
      <c r="B78" s="4" t="s">
        <v>92</v>
      </c>
      <c r="C78" s="4" t="s">
        <v>34</v>
      </c>
      <c r="D78" s="4">
        <v>15</v>
      </c>
      <c r="E78" s="10">
        <f>IFERROR(IFERROR(SUMIFS('Base de données'!$G:$G, 'Base de données'!A:A, BD_etu_notes_S1_C3!C78, 'Base de données'!$C:$C, BD_etu_notes_S1_C3!A78), 0) / IFERROR(SUMIFS('Base de données'!$E:$E, 'Base de données'!A:A, BD_etu_notes_S1_C3!C78, 'Base de données'!$C:$C, BD_etu_notes_S1_C3!A78), 0),0)</f>
        <v>0</v>
      </c>
    </row>
    <row r="79" spans="1:5" ht="16" x14ac:dyDescent="0.2">
      <c r="A79" s="4" t="s">
        <v>93</v>
      </c>
      <c r="B79" s="4" t="s">
        <v>94</v>
      </c>
      <c r="C79" s="4" t="s">
        <v>34</v>
      </c>
      <c r="D79" s="4">
        <v>10</v>
      </c>
      <c r="E79" s="10">
        <f>IFERROR(IFERROR(SUMIFS('Base de données'!$G:$G, 'Base de données'!A:A, BD_etu_notes_S1_C3!C79, 'Base de données'!$C:$C, BD_etu_notes_S1_C3!A79), 0) / IFERROR(SUMIFS('Base de données'!$E:$E, 'Base de données'!A:A, BD_etu_notes_S1_C3!C79, 'Base de données'!$C:$C, BD_etu_notes_S1_C3!A79), 0),0)</f>
        <v>0</v>
      </c>
    </row>
    <row r="80" spans="1:5" ht="16" x14ac:dyDescent="0.2">
      <c r="A80" s="4" t="s">
        <v>95</v>
      </c>
      <c r="B80" s="4" t="s">
        <v>96</v>
      </c>
      <c r="C80" s="4" t="s">
        <v>34</v>
      </c>
      <c r="D80" s="4">
        <v>15</v>
      </c>
      <c r="E80" s="10">
        <f>IFERROR(IFERROR(SUMIFS('Base de données'!$G:$G, 'Base de données'!A:A, BD_etu_notes_S1_C3!C80, 'Base de données'!$C:$C, BD_etu_notes_S1_C3!A80), 0) / IFERROR(SUMIFS('Base de données'!$E:$E, 'Base de données'!A:A, BD_etu_notes_S1_C3!C80, 'Base de données'!$C:$C, BD_etu_notes_S1_C3!A80), 0),0)</f>
        <v>0</v>
      </c>
    </row>
    <row r="81" spans="5:5" ht="16" x14ac:dyDescent="0.2">
      <c r="E81" s="10"/>
    </row>
    <row r="82" spans="5:5" ht="16" x14ac:dyDescent="0.2">
      <c r="E82" s="10"/>
    </row>
    <row r="83" spans="5:5" ht="16" x14ac:dyDescent="0.2">
      <c r="E83" s="10"/>
    </row>
    <row r="84" spans="5:5" ht="16" x14ac:dyDescent="0.2">
      <c r="E84" s="10"/>
    </row>
    <row r="85" spans="5:5" ht="16" x14ac:dyDescent="0.2">
      <c r="E85" s="10"/>
    </row>
    <row r="86" spans="5:5" ht="16" x14ac:dyDescent="0.2">
      <c r="E86" s="10"/>
    </row>
    <row r="87" spans="5:5" ht="16" x14ac:dyDescent="0.2">
      <c r="E87" s="10"/>
    </row>
    <row r="88" spans="5:5" ht="16" x14ac:dyDescent="0.2">
      <c r="E88" s="10"/>
    </row>
    <row r="89" spans="5:5" ht="16" x14ac:dyDescent="0.2">
      <c r="E89" s="10"/>
    </row>
    <row r="90" spans="5:5" ht="16" x14ac:dyDescent="0.2">
      <c r="E90" s="10"/>
    </row>
    <row r="91" spans="5:5" ht="16" x14ac:dyDescent="0.2">
      <c r="E91" s="10"/>
    </row>
    <row r="92" spans="5:5" ht="16" x14ac:dyDescent="0.2">
      <c r="E92" s="10"/>
    </row>
    <row r="93" spans="5:5" ht="16" x14ac:dyDescent="0.2">
      <c r="E93" s="10"/>
    </row>
    <row r="94" spans="5:5" ht="16" x14ac:dyDescent="0.2">
      <c r="E94" s="10"/>
    </row>
    <row r="95" spans="5:5" ht="16" x14ac:dyDescent="0.2">
      <c r="E95" s="10"/>
    </row>
    <row r="96" spans="5:5" ht="16" x14ac:dyDescent="0.2">
      <c r="E96" s="10"/>
    </row>
    <row r="97" spans="5:5" ht="16" x14ac:dyDescent="0.2">
      <c r="E97" s="10"/>
    </row>
    <row r="98" spans="5:5" ht="16" x14ac:dyDescent="0.2">
      <c r="E98" s="10"/>
    </row>
    <row r="99" spans="5:5" ht="16" x14ac:dyDescent="0.2">
      <c r="E99" s="10"/>
    </row>
    <row r="100" spans="5:5" ht="16" x14ac:dyDescent="0.2">
      <c r="E100" s="10"/>
    </row>
    <row r="101" spans="5:5" ht="16" x14ac:dyDescent="0.2">
      <c r="E101" s="10"/>
    </row>
    <row r="102" spans="5:5" ht="16" x14ac:dyDescent="0.2">
      <c r="E102" s="10"/>
    </row>
    <row r="103" spans="5:5" ht="16" x14ac:dyDescent="0.2">
      <c r="E103" s="10"/>
    </row>
    <row r="104" spans="5:5" ht="16" x14ac:dyDescent="0.2">
      <c r="E104" s="10"/>
    </row>
    <row r="105" spans="5:5" ht="16" x14ac:dyDescent="0.2">
      <c r="E105" s="10"/>
    </row>
    <row r="106" spans="5:5" ht="16" x14ac:dyDescent="0.2">
      <c r="E106" s="10"/>
    </row>
    <row r="107" spans="5:5" ht="16" x14ac:dyDescent="0.2">
      <c r="E107" s="10"/>
    </row>
    <row r="108" spans="5:5" ht="16" x14ac:dyDescent="0.2">
      <c r="E108" s="10"/>
    </row>
    <row r="109" spans="5:5" ht="16" x14ac:dyDescent="0.2">
      <c r="E109" s="10"/>
    </row>
    <row r="110" spans="5:5" ht="16" x14ac:dyDescent="0.2">
      <c r="E110" s="10"/>
    </row>
    <row r="111" spans="5:5" ht="16" x14ac:dyDescent="0.2">
      <c r="E111" s="10"/>
    </row>
    <row r="112" spans="5:5" ht="16" x14ac:dyDescent="0.2">
      <c r="E112" s="10"/>
    </row>
    <row r="113" spans="5:5" ht="16" x14ac:dyDescent="0.2">
      <c r="E113" s="10"/>
    </row>
    <row r="114" spans="5:5" ht="16" x14ac:dyDescent="0.2">
      <c r="E114" s="10"/>
    </row>
    <row r="115" spans="5:5" ht="16" x14ac:dyDescent="0.2">
      <c r="E115" s="10"/>
    </row>
    <row r="116" spans="5:5" ht="16" x14ac:dyDescent="0.2">
      <c r="E116" s="10"/>
    </row>
    <row r="117" spans="5:5" ht="16" x14ac:dyDescent="0.2">
      <c r="E117" s="10"/>
    </row>
    <row r="118" spans="5:5" ht="16" x14ac:dyDescent="0.2">
      <c r="E118" s="10"/>
    </row>
    <row r="119" spans="5:5" ht="16" x14ac:dyDescent="0.2">
      <c r="E119" s="10"/>
    </row>
    <row r="120" spans="5:5" ht="16" x14ac:dyDescent="0.2">
      <c r="E120" s="10"/>
    </row>
    <row r="121" spans="5:5" ht="16" x14ac:dyDescent="0.2">
      <c r="E121" s="10"/>
    </row>
    <row r="122" spans="5:5" ht="16" x14ac:dyDescent="0.2">
      <c r="E122" s="10"/>
    </row>
    <row r="123" spans="5:5" ht="16" x14ac:dyDescent="0.2">
      <c r="E123" s="10"/>
    </row>
    <row r="124" spans="5:5" ht="16" x14ac:dyDescent="0.2">
      <c r="E124" s="10"/>
    </row>
    <row r="125" spans="5:5" ht="16" x14ac:dyDescent="0.2">
      <c r="E125" s="10"/>
    </row>
    <row r="126" spans="5:5" ht="16" x14ac:dyDescent="0.2">
      <c r="E126" s="10"/>
    </row>
    <row r="127" spans="5:5" ht="16" x14ac:dyDescent="0.2">
      <c r="E127" s="10"/>
    </row>
    <row r="128" spans="5:5" ht="16" x14ac:dyDescent="0.2">
      <c r="E128" s="10"/>
    </row>
    <row r="129" spans="5:5" ht="16" x14ac:dyDescent="0.2">
      <c r="E129" s="10"/>
    </row>
    <row r="130" spans="5:5" ht="16" x14ac:dyDescent="0.2">
      <c r="E130" s="10"/>
    </row>
    <row r="131" spans="5:5" ht="16" x14ac:dyDescent="0.2">
      <c r="E131" s="10"/>
    </row>
    <row r="132" spans="5:5" ht="16" x14ac:dyDescent="0.2">
      <c r="E132" s="10"/>
    </row>
    <row r="133" spans="5:5" ht="16" x14ac:dyDescent="0.2">
      <c r="E133" s="10"/>
    </row>
    <row r="134" spans="5:5" ht="16" x14ac:dyDescent="0.2">
      <c r="E134" s="10"/>
    </row>
    <row r="135" spans="5:5" ht="16" x14ac:dyDescent="0.2">
      <c r="E135" s="10"/>
    </row>
    <row r="136" spans="5:5" ht="16" x14ac:dyDescent="0.2">
      <c r="E136" s="10"/>
    </row>
    <row r="137" spans="5:5" ht="16" x14ac:dyDescent="0.2">
      <c r="E137" s="10"/>
    </row>
    <row r="138" spans="5:5" ht="16" x14ac:dyDescent="0.2">
      <c r="E138" s="10"/>
    </row>
    <row r="139" spans="5:5" ht="16" x14ac:dyDescent="0.2">
      <c r="E139" s="10"/>
    </row>
    <row r="140" spans="5:5" ht="16" x14ac:dyDescent="0.2">
      <c r="E140" s="10"/>
    </row>
    <row r="141" spans="5:5" ht="16" x14ac:dyDescent="0.2">
      <c r="E141" s="10"/>
    </row>
    <row r="142" spans="5:5" ht="16" x14ac:dyDescent="0.2">
      <c r="E142" s="10"/>
    </row>
    <row r="143" spans="5:5" ht="16" x14ac:dyDescent="0.2">
      <c r="E143" s="10"/>
    </row>
    <row r="144" spans="5:5" ht="16" x14ac:dyDescent="0.2">
      <c r="E144" s="10"/>
    </row>
    <row r="145" spans="5:5" ht="16" x14ac:dyDescent="0.2">
      <c r="E145" s="10"/>
    </row>
    <row r="146" spans="5:5" ht="16" x14ac:dyDescent="0.2">
      <c r="E146" s="10"/>
    </row>
    <row r="147" spans="5:5" ht="16" x14ac:dyDescent="0.2">
      <c r="E147" s="10"/>
    </row>
    <row r="148" spans="5:5" ht="16" x14ac:dyDescent="0.2">
      <c r="E148" s="10"/>
    </row>
    <row r="149" spans="5:5" ht="16" x14ac:dyDescent="0.2">
      <c r="E149" s="10"/>
    </row>
    <row r="150" spans="5:5" ht="16" x14ac:dyDescent="0.2">
      <c r="E150" s="10"/>
    </row>
    <row r="151" spans="5:5" ht="16" x14ac:dyDescent="0.2">
      <c r="E151" s="10"/>
    </row>
    <row r="152" spans="5:5" ht="16" x14ac:dyDescent="0.2">
      <c r="E152" s="10"/>
    </row>
    <row r="153" spans="5:5" ht="16" x14ac:dyDescent="0.2">
      <c r="E153" s="10"/>
    </row>
    <row r="154" spans="5:5" ht="16" x14ac:dyDescent="0.2">
      <c r="E154" s="10"/>
    </row>
    <row r="155" spans="5:5" ht="16" x14ac:dyDescent="0.2">
      <c r="E155" s="10"/>
    </row>
    <row r="156" spans="5:5" ht="16" x14ac:dyDescent="0.2">
      <c r="E156" s="10"/>
    </row>
    <row r="157" spans="5:5" ht="16" x14ac:dyDescent="0.2">
      <c r="E157" s="10"/>
    </row>
    <row r="158" spans="5:5" ht="16" x14ac:dyDescent="0.2">
      <c r="E158" s="10"/>
    </row>
    <row r="159" spans="5:5" ht="16" x14ac:dyDescent="0.2">
      <c r="E159" s="10"/>
    </row>
    <row r="160" spans="5:5" ht="16" x14ac:dyDescent="0.2">
      <c r="E160" s="10"/>
    </row>
    <row r="161" spans="5:5" ht="16" x14ac:dyDescent="0.2">
      <c r="E161" s="10"/>
    </row>
    <row r="162" spans="5:5" ht="16" x14ac:dyDescent="0.2">
      <c r="E162" s="10"/>
    </row>
    <row r="163" spans="5:5" ht="16" x14ac:dyDescent="0.2">
      <c r="E163" s="10"/>
    </row>
    <row r="164" spans="5:5" ht="16" x14ac:dyDescent="0.2">
      <c r="E164" s="10"/>
    </row>
    <row r="165" spans="5:5" ht="16" x14ac:dyDescent="0.2">
      <c r="E165" s="10"/>
    </row>
    <row r="166" spans="5:5" ht="16" x14ac:dyDescent="0.2">
      <c r="E166" s="10"/>
    </row>
    <row r="167" spans="5:5" ht="16" x14ac:dyDescent="0.2">
      <c r="E167" s="10"/>
    </row>
    <row r="168" spans="5:5" ht="16" x14ac:dyDescent="0.2">
      <c r="E168" s="10"/>
    </row>
    <row r="169" spans="5:5" ht="16" x14ac:dyDescent="0.2">
      <c r="E169" s="10"/>
    </row>
    <row r="170" spans="5:5" ht="16" x14ac:dyDescent="0.2">
      <c r="E170" s="10"/>
    </row>
    <row r="171" spans="5:5" ht="16" x14ac:dyDescent="0.2">
      <c r="E171" s="10"/>
    </row>
    <row r="172" spans="5:5" ht="16" x14ac:dyDescent="0.2">
      <c r="E172" s="10"/>
    </row>
    <row r="173" spans="5:5" ht="16" x14ac:dyDescent="0.2">
      <c r="E173" s="10"/>
    </row>
    <row r="174" spans="5:5" ht="16" x14ac:dyDescent="0.2">
      <c r="E174" s="10"/>
    </row>
    <row r="175" spans="5:5" ht="16" x14ac:dyDescent="0.2">
      <c r="E175" s="10"/>
    </row>
    <row r="176" spans="5:5" ht="16" x14ac:dyDescent="0.2">
      <c r="E176" s="10"/>
    </row>
    <row r="177" spans="5:5" ht="16" x14ac:dyDescent="0.2">
      <c r="E177" s="10"/>
    </row>
    <row r="178" spans="5:5" ht="16" x14ac:dyDescent="0.2">
      <c r="E178" s="10"/>
    </row>
    <row r="179" spans="5:5" ht="16" x14ac:dyDescent="0.2">
      <c r="E179" s="10"/>
    </row>
    <row r="180" spans="5:5" ht="16" x14ac:dyDescent="0.2">
      <c r="E180" s="10"/>
    </row>
    <row r="181" spans="5:5" ht="16" x14ac:dyDescent="0.2">
      <c r="E181" s="10"/>
    </row>
    <row r="182" spans="5:5" ht="16" x14ac:dyDescent="0.2">
      <c r="E182" s="10"/>
    </row>
    <row r="183" spans="5:5" ht="16" x14ac:dyDescent="0.2">
      <c r="E183" s="10"/>
    </row>
    <row r="184" spans="5:5" ht="16" x14ac:dyDescent="0.2">
      <c r="E184" s="10"/>
    </row>
    <row r="185" spans="5:5" ht="16" x14ac:dyDescent="0.2">
      <c r="E185" s="10"/>
    </row>
    <row r="186" spans="5:5" ht="16" x14ac:dyDescent="0.2">
      <c r="E186" s="10"/>
    </row>
    <row r="187" spans="5:5" ht="16" x14ac:dyDescent="0.2">
      <c r="E187" s="10"/>
    </row>
    <row r="188" spans="5:5" ht="16" x14ac:dyDescent="0.2">
      <c r="E188" s="10"/>
    </row>
    <row r="189" spans="5:5" ht="16" x14ac:dyDescent="0.2">
      <c r="E189" s="10"/>
    </row>
    <row r="190" spans="5:5" ht="16" x14ac:dyDescent="0.2">
      <c r="E190" s="10"/>
    </row>
    <row r="191" spans="5:5" ht="16" x14ac:dyDescent="0.2">
      <c r="E191" s="10"/>
    </row>
    <row r="192" spans="5:5" ht="16" x14ac:dyDescent="0.2">
      <c r="E192" s="10"/>
    </row>
    <row r="193" spans="5:5" ht="16" x14ac:dyDescent="0.2">
      <c r="E193" s="10"/>
    </row>
    <row r="194" spans="5:5" ht="16" x14ac:dyDescent="0.2">
      <c r="E194" s="10"/>
    </row>
    <row r="195" spans="5:5" ht="16" x14ac:dyDescent="0.2">
      <c r="E195" s="10"/>
    </row>
    <row r="196" spans="5:5" ht="16" x14ac:dyDescent="0.2">
      <c r="E196" s="10"/>
    </row>
    <row r="197" spans="5:5" ht="16" x14ac:dyDescent="0.2">
      <c r="E197" s="10"/>
    </row>
    <row r="198" spans="5:5" ht="16" x14ac:dyDescent="0.2">
      <c r="E198" s="10"/>
    </row>
    <row r="199" spans="5:5" ht="16" x14ac:dyDescent="0.2">
      <c r="E199" s="10"/>
    </row>
    <row r="200" spans="5:5" ht="16" x14ac:dyDescent="0.2">
      <c r="E200" s="10"/>
    </row>
    <row r="201" spans="5:5" ht="16" x14ac:dyDescent="0.2">
      <c r="E201" s="10"/>
    </row>
    <row r="202" spans="5:5" ht="16" x14ac:dyDescent="0.2">
      <c r="E202" s="10"/>
    </row>
    <row r="203" spans="5:5" ht="16" x14ac:dyDescent="0.2">
      <c r="E203" s="10"/>
    </row>
    <row r="204" spans="5:5" ht="16" x14ac:dyDescent="0.2">
      <c r="E204" s="10"/>
    </row>
    <row r="205" spans="5:5" ht="16" x14ac:dyDescent="0.2">
      <c r="E205" s="10"/>
    </row>
    <row r="206" spans="5:5" ht="16" x14ac:dyDescent="0.2">
      <c r="E206" s="10"/>
    </row>
    <row r="207" spans="5:5" ht="16" x14ac:dyDescent="0.2">
      <c r="E207" s="10"/>
    </row>
    <row r="208" spans="5:5" ht="16" x14ac:dyDescent="0.2">
      <c r="E208" s="10"/>
    </row>
    <row r="209" spans="5:5" ht="16" x14ac:dyDescent="0.2">
      <c r="E209" s="10"/>
    </row>
    <row r="210" spans="5:5" ht="16" x14ac:dyDescent="0.2">
      <c r="E210" s="10"/>
    </row>
    <row r="211" spans="5:5" ht="16" x14ac:dyDescent="0.2">
      <c r="E211" s="10"/>
    </row>
    <row r="212" spans="5:5" ht="16" x14ac:dyDescent="0.2">
      <c r="E212" s="10"/>
    </row>
    <row r="213" spans="5:5" ht="16" x14ac:dyDescent="0.2">
      <c r="E213" s="10"/>
    </row>
    <row r="214" spans="5:5" ht="16" x14ac:dyDescent="0.2">
      <c r="E214" s="10"/>
    </row>
    <row r="215" spans="5:5" ht="16" x14ac:dyDescent="0.2">
      <c r="E215" s="10"/>
    </row>
    <row r="216" spans="5:5" ht="16" x14ac:dyDescent="0.2">
      <c r="E216" s="10"/>
    </row>
    <row r="217" spans="5:5" ht="16" x14ac:dyDescent="0.2">
      <c r="E217" s="10"/>
    </row>
    <row r="218" spans="5:5" ht="16" x14ac:dyDescent="0.2">
      <c r="E218" s="10"/>
    </row>
    <row r="219" spans="5:5" ht="16" x14ac:dyDescent="0.2">
      <c r="E219" s="10"/>
    </row>
    <row r="220" spans="5:5" ht="16" x14ac:dyDescent="0.2">
      <c r="E220" s="10"/>
    </row>
    <row r="221" spans="5:5" ht="16" x14ac:dyDescent="0.2">
      <c r="E221" s="10"/>
    </row>
    <row r="222" spans="5:5" ht="16" x14ac:dyDescent="0.2">
      <c r="E222" s="10"/>
    </row>
    <row r="223" spans="5:5" ht="16" x14ac:dyDescent="0.2">
      <c r="E223" s="10"/>
    </row>
    <row r="224" spans="5:5" ht="16" x14ac:dyDescent="0.2">
      <c r="E224" s="10"/>
    </row>
    <row r="225" spans="5:5" ht="16" x14ac:dyDescent="0.2">
      <c r="E225" s="10"/>
    </row>
    <row r="226" spans="5:5" ht="16" x14ac:dyDescent="0.2">
      <c r="E226" s="10"/>
    </row>
    <row r="227" spans="5:5" ht="16" x14ac:dyDescent="0.2">
      <c r="E227" s="10"/>
    </row>
    <row r="228" spans="5:5" ht="16" x14ac:dyDescent="0.2">
      <c r="E228" s="10"/>
    </row>
    <row r="229" spans="5:5" ht="16" x14ac:dyDescent="0.2">
      <c r="E229" s="10"/>
    </row>
    <row r="230" spans="5:5" ht="16" x14ac:dyDescent="0.2">
      <c r="E230" s="10"/>
    </row>
    <row r="231" spans="5:5" ht="16" x14ac:dyDescent="0.2">
      <c r="E231" s="10"/>
    </row>
    <row r="232" spans="5:5" ht="16" x14ac:dyDescent="0.2">
      <c r="E232" s="10"/>
    </row>
    <row r="233" spans="5:5" ht="16" x14ac:dyDescent="0.2">
      <c r="E233" s="10"/>
    </row>
    <row r="234" spans="5:5" ht="16" x14ac:dyDescent="0.2">
      <c r="E234" s="10"/>
    </row>
    <row r="235" spans="5:5" ht="16" x14ac:dyDescent="0.2">
      <c r="E235" s="10"/>
    </row>
    <row r="236" spans="5:5" ht="16" x14ac:dyDescent="0.2">
      <c r="E236" s="10"/>
    </row>
    <row r="237" spans="5:5" ht="16" x14ac:dyDescent="0.2">
      <c r="E237" s="10"/>
    </row>
    <row r="238" spans="5:5" ht="16" x14ac:dyDescent="0.2">
      <c r="E238" s="10"/>
    </row>
    <row r="239" spans="5:5" ht="16" x14ac:dyDescent="0.2">
      <c r="E239" s="10"/>
    </row>
    <row r="240" spans="5:5" ht="16" x14ac:dyDescent="0.2">
      <c r="E240" s="10"/>
    </row>
    <row r="241" spans="5:5" ht="16" x14ac:dyDescent="0.2">
      <c r="E241" s="10"/>
    </row>
    <row r="242" spans="5:5" ht="16" x14ac:dyDescent="0.2">
      <c r="E242" s="10"/>
    </row>
    <row r="243" spans="5:5" ht="16" x14ac:dyDescent="0.2">
      <c r="E243" s="10"/>
    </row>
    <row r="244" spans="5:5" ht="16" x14ac:dyDescent="0.2">
      <c r="E244" s="10"/>
    </row>
    <row r="245" spans="5:5" ht="16" x14ac:dyDescent="0.2">
      <c r="E245" s="10"/>
    </row>
    <row r="246" spans="5:5" ht="16" x14ac:dyDescent="0.2">
      <c r="E246" s="10"/>
    </row>
    <row r="247" spans="5:5" ht="16" x14ac:dyDescent="0.2">
      <c r="E247" s="10"/>
    </row>
    <row r="248" spans="5:5" ht="16" x14ac:dyDescent="0.2">
      <c r="E248" s="10"/>
    </row>
    <row r="249" spans="5:5" ht="16" x14ac:dyDescent="0.2">
      <c r="E249" s="10"/>
    </row>
    <row r="250" spans="5:5" ht="16" x14ac:dyDescent="0.2">
      <c r="E250" s="10"/>
    </row>
    <row r="251" spans="5:5" ht="16" x14ac:dyDescent="0.2">
      <c r="E251" s="10"/>
    </row>
    <row r="252" spans="5:5" ht="16" x14ac:dyDescent="0.2">
      <c r="E252" s="10"/>
    </row>
    <row r="253" spans="5:5" ht="16" x14ac:dyDescent="0.2">
      <c r="E253" s="10"/>
    </row>
    <row r="254" spans="5:5" ht="16" x14ac:dyDescent="0.2">
      <c r="E254" s="10"/>
    </row>
    <row r="255" spans="5:5" ht="16" x14ac:dyDescent="0.2">
      <c r="E255" s="10"/>
    </row>
    <row r="256" spans="5:5" ht="16" x14ac:dyDescent="0.2">
      <c r="E256" s="10"/>
    </row>
    <row r="257" spans="5:5" ht="16" x14ac:dyDescent="0.2">
      <c r="E257" s="10"/>
    </row>
    <row r="258" spans="5:5" ht="16" x14ac:dyDescent="0.2">
      <c r="E258" s="10"/>
    </row>
    <row r="259" spans="5:5" ht="16" x14ac:dyDescent="0.2">
      <c r="E259" s="10"/>
    </row>
    <row r="260" spans="5:5" ht="16" x14ac:dyDescent="0.2">
      <c r="E260" s="10"/>
    </row>
    <row r="261" spans="5:5" ht="16" x14ac:dyDescent="0.2">
      <c r="E261" s="10"/>
    </row>
    <row r="262" spans="5:5" ht="16" x14ac:dyDescent="0.2">
      <c r="E262" s="10"/>
    </row>
    <row r="263" spans="5:5" ht="16" x14ac:dyDescent="0.2">
      <c r="E263" s="10"/>
    </row>
    <row r="264" spans="5:5" ht="16" x14ac:dyDescent="0.2">
      <c r="E264" s="10"/>
    </row>
    <row r="265" spans="5:5" ht="16" x14ac:dyDescent="0.2">
      <c r="E265" s="10"/>
    </row>
    <row r="266" spans="5:5" ht="16" x14ac:dyDescent="0.2">
      <c r="E266" s="10"/>
    </row>
    <row r="267" spans="5:5" ht="16" x14ac:dyDescent="0.2">
      <c r="E267" s="10"/>
    </row>
    <row r="268" spans="5:5" ht="16" x14ac:dyDescent="0.2">
      <c r="E268" s="10"/>
    </row>
    <row r="269" spans="5:5" ht="16" x14ac:dyDescent="0.2">
      <c r="E269" s="10"/>
    </row>
    <row r="270" spans="5:5" ht="16" x14ac:dyDescent="0.2">
      <c r="E270" s="10"/>
    </row>
    <row r="271" spans="5:5" ht="16" x14ac:dyDescent="0.2">
      <c r="E271" s="10"/>
    </row>
    <row r="272" spans="5:5" ht="16" x14ac:dyDescent="0.2">
      <c r="E272" s="10"/>
    </row>
    <row r="273" spans="5:5" ht="16" x14ac:dyDescent="0.2">
      <c r="E273" s="10"/>
    </row>
    <row r="274" spans="5:5" ht="16" x14ac:dyDescent="0.2">
      <c r="E274" s="10"/>
    </row>
    <row r="275" spans="5:5" ht="16" x14ac:dyDescent="0.2">
      <c r="E275" s="10"/>
    </row>
    <row r="276" spans="5:5" ht="16" x14ac:dyDescent="0.2">
      <c r="E276" s="10"/>
    </row>
    <row r="277" spans="5:5" ht="16" x14ac:dyDescent="0.2">
      <c r="E277" s="10"/>
    </row>
    <row r="278" spans="5:5" ht="16" x14ac:dyDescent="0.2">
      <c r="E278" s="10"/>
    </row>
    <row r="279" spans="5:5" ht="16" x14ac:dyDescent="0.2">
      <c r="E279" s="10"/>
    </row>
    <row r="280" spans="5:5" ht="16" x14ac:dyDescent="0.2">
      <c r="E280" s="10"/>
    </row>
    <row r="281" spans="5:5" ht="16" x14ac:dyDescent="0.2">
      <c r="E281" s="10"/>
    </row>
    <row r="282" spans="5:5" ht="16" x14ac:dyDescent="0.2">
      <c r="E282" s="10"/>
    </row>
    <row r="283" spans="5:5" ht="16" x14ac:dyDescent="0.2">
      <c r="E283" s="10"/>
    </row>
    <row r="284" spans="5:5" ht="16" x14ac:dyDescent="0.2">
      <c r="E284" s="10"/>
    </row>
    <row r="285" spans="5:5" ht="16" x14ac:dyDescent="0.2">
      <c r="E285" s="10"/>
    </row>
    <row r="286" spans="5:5" ht="16" x14ac:dyDescent="0.2">
      <c r="E286" s="10"/>
    </row>
    <row r="287" spans="5:5" ht="16" x14ac:dyDescent="0.2">
      <c r="E287" s="10"/>
    </row>
    <row r="288" spans="5:5" ht="16" x14ac:dyDescent="0.2">
      <c r="E288" s="10"/>
    </row>
    <row r="289" spans="5:5" ht="16" x14ac:dyDescent="0.2">
      <c r="E289" s="10"/>
    </row>
    <row r="290" spans="5:5" ht="16" x14ac:dyDescent="0.2">
      <c r="E290" s="10"/>
    </row>
    <row r="291" spans="5:5" ht="16" x14ac:dyDescent="0.2">
      <c r="E291" s="10"/>
    </row>
    <row r="292" spans="5:5" ht="16" x14ac:dyDescent="0.2">
      <c r="E292" s="10"/>
    </row>
    <row r="293" spans="5:5" ht="16" x14ac:dyDescent="0.2">
      <c r="E293" s="10"/>
    </row>
    <row r="294" spans="5:5" ht="16" x14ac:dyDescent="0.2">
      <c r="E294" s="10"/>
    </row>
    <row r="295" spans="5:5" ht="16" x14ac:dyDescent="0.2">
      <c r="E295" s="10"/>
    </row>
    <row r="296" spans="5:5" ht="16" x14ac:dyDescent="0.2">
      <c r="E296" s="10"/>
    </row>
    <row r="297" spans="5:5" ht="16" x14ac:dyDescent="0.2">
      <c r="E297" s="10"/>
    </row>
    <row r="298" spans="5:5" ht="16" x14ac:dyDescent="0.2">
      <c r="E298" s="10"/>
    </row>
    <row r="299" spans="5:5" ht="16" x14ac:dyDescent="0.2">
      <c r="E299" s="10"/>
    </row>
    <row r="300" spans="5:5" ht="16" x14ac:dyDescent="0.2">
      <c r="E300" s="10"/>
    </row>
    <row r="301" spans="5:5" ht="16" x14ac:dyDescent="0.2">
      <c r="E301" s="10"/>
    </row>
    <row r="302" spans="5:5" ht="16" x14ac:dyDescent="0.2">
      <c r="E302" s="10"/>
    </row>
    <row r="303" spans="5:5" ht="16" x14ac:dyDescent="0.2">
      <c r="E303" s="10"/>
    </row>
    <row r="304" spans="5:5" ht="16" x14ac:dyDescent="0.2">
      <c r="E304" s="10"/>
    </row>
    <row r="305" spans="5:5" ht="16" x14ac:dyDescent="0.2">
      <c r="E305" s="10"/>
    </row>
    <row r="306" spans="5:5" ht="16" x14ac:dyDescent="0.2">
      <c r="E306" s="10"/>
    </row>
    <row r="307" spans="5:5" ht="16" x14ac:dyDescent="0.2">
      <c r="E307" s="10"/>
    </row>
    <row r="308" spans="5:5" ht="16" x14ac:dyDescent="0.2">
      <c r="E308" s="10"/>
    </row>
    <row r="309" spans="5:5" ht="16" x14ac:dyDescent="0.2">
      <c r="E309" s="10"/>
    </row>
    <row r="310" spans="5:5" ht="16" x14ac:dyDescent="0.2">
      <c r="E310" s="10"/>
    </row>
    <row r="311" spans="5:5" ht="16" x14ac:dyDescent="0.2">
      <c r="E311" s="10"/>
    </row>
    <row r="312" spans="5:5" ht="16" x14ac:dyDescent="0.2">
      <c r="E312" s="10"/>
    </row>
    <row r="313" spans="5:5" ht="16" x14ac:dyDescent="0.2">
      <c r="E313" s="10"/>
    </row>
    <row r="314" spans="5:5" ht="16" x14ac:dyDescent="0.2">
      <c r="E314" s="10"/>
    </row>
    <row r="315" spans="5:5" ht="16" x14ac:dyDescent="0.2">
      <c r="E315" s="10"/>
    </row>
    <row r="316" spans="5:5" ht="16" x14ac:dyDescent="0.2">
      <c r="E316" s="10"/>
    </row>
    <row r="317" spans="5:5" ht="16" x14ac:dyDescent="0.2">
      <c r="E317" s="10"/>
    </row>
    <row r="318" spans="5:5" ht="16" x14ac:dyDescent="0.2">
      <c r="E318" s="10"/>
    </row>
    <row r="319" spans="5:5" ht="16" x14ac:dyDescent="0.2">
      <c r="E319" s="10"/>
    </row>
    <row r="320" spans="5:5" ht="16" x14ac:dyDescent="0.2">
      <c r="E320" s="10"/>
    </row>
    <row r="321" spans="5:5" ht="16" x14ac:dyDescent="0.2">
      <c r="E321" s="10"/>
    </row>
    <row r="322" spans="5:5" ht="16" x14ac:dyDescent="0.2">
      <c r="E322" s="10"/>
    </row>
    <row r="323" spans="5:5" ht="16" x14ac:dyDescent="0.2">
      <c r="E323" s="10"/>
    </row>
    <row r="324" spans="5:5" ht="16" x14ac:dyDescent="0.2">
      <c r="E324" s="10"/>
    </row>
    <row r="325" spans="5:5" ht="16" x14ac:dyDescent="0.2">
      <c r="E325" s="10"/>
    </row>
    <row r="326" spans="5:5" ht="16" x14ac:dyDescent="0.2">
      <c r="E326" s="10"/>
    </row>
    <row r="327" spans="5:5" ht="16" x14ac:dyDescent="0.2">
      <c r="E327" s="10"/>
    </row>
    <row r="328" spans="5:5" ht="16" x14ac:dyDescent="0.2">
      <c r="E328" s="10"/>
    </row>
    <row r="329" spans="5:5" ht="16" x14ac:dyDescent="0.2">
      <c r="E329" s="10"/>
    </row>
    <row r="330" spans="5:5" ht="16" x14ac:dyDescent="0.2">
      <c r="E330" s="10"/>
    </row>
    <row r="331" spans="5:5" ht="16" x14ac:dyDescent="0.2">
      <c r="E331" s="10"/>
    </row>
    <row r="332" spans="5:5" ht="16" x14ac:dyDescent="0.2">
      <c r="E332" s="10"/>
    </row>
    <row r="333" spans="5:5" ht="16" x14ac:dyDescent="0.2">
      <c r="E333" s="10"/>
    </row>
    <row r="334" spans="5:5" ht="16" x14ac:dyDescent="0.2">
      <c r="E334" s="10"/>
    </row>
    <row r="335" spans="5:5" ht="16" x14ac:dyDescent="0.2">
      <c r="E335" s="10"/>
    </row>
    <row r="336" spans="5:5" ht="16" x14ac:dyDescent="0.2">
      <c r="E336" s="10"/>
    </row>
    <row r="337" spans="5:5" ht="16" x14ac:dyDescent="0.2">
      <c r="E337" s="10"/>
    </row>
    <row r="338" spans="5:5" ht="16" x14ac:dyDescent="0.2">
      <c r="E338" s="10"/>
    </row>
    <row r="339" spans="5:5" ht="16" x14ac:dyDescent="0.2">
      <c r="E339" s="10"/>
    </row>
    <row r="340" spans="5:5" ht="16" x14ac:dyDescent="0.2">
      <c r="E340" s="10"/>
    </row>
    <row r="341" spans="5:5" ht="16" x14ac:dyDescent="0.2">
      <c r="E341" s="10"/>
    </row>
    <row r="342" spans="5:5" ht="16" x14ac:dyDescent="0.2">
      <c r="E342" s="10"/>
    </row>
    <row r="343" spans="5:5" ht="16" x14ac:dyDescent="0.2">
      <c r="E343" s="10"/>
    </row>
    <row r="344" spans="5:5" ht="16" x14ac:dyDescent="0.2">
      <c r="E344" s="10"/>
    </row>
    <row r="345" spans="5:5" ht="16" x14ac:dyDescent="0.2">
      <c r="E345" s="10"/>
    </row>
    <row r="346" spans="5:5" ht="16" x14ac:dyDescent="0.2">
      <c r="E346" s="10"/>
    </row>
    <row r="347" spans="5:5" ht="16" x14ac:dyDescent="0.2">
      <c r="E347" s="10"/>
    </row>
    <row r="348" spans="5:5" ht="16" x14ac:dyDescent="0.2">
      <c r="E348" s="10"/>
    </row>
    <row r="349" spans="5:5" ht="16" x14ac:dyDescent="0.2">
      <c r="E349" s="10"/>
    </row>
    <row r="350" spans="5:5" ht="16" x14ac:dyDescent="0.2">
      <c r="E350" s="10"/>
    </row>
    <row r="351" spans="5:5" ht="16" x14ac:dyDescent="0.2">
      <c r="E351" s="10"/>
    </row>
    <row r="352" spans="5:5" ht="16" x14ac:dyDescent="0.2">
      <c r="E352" s="10"/>
    </row>
    <row r="353" spans="5:5" ht="16" x14ac:dyDescent="0.2">
      <c r="E353" s="10"/>
    </row>
    <row r="354" spans="5:5" ht="16" x14ac:dyDescent="0.2">
      <c r="E354" s="10"/>
    </row>
    <row r="355" spans="5:5" ht="16" x14ac:dyDescent="0.2">
      <c r="E355" s="10"/>
    </row>
    <row r="356" spans="5:5" ht="16" x14ac:dyDescent="0.2">
      <c r="E356" s="10"/>
    </row>
    <row r="357" spans="5:5" ht="16" x14ac:dyDescent="0.2">
      <c r="E357" s="10"/>
    </row>
    <row r="358" spans="5:5" ht="16" x14ac:dyDescent="0.2">
      <c r="E358" s="10"/>
    </row>
    <row r="359" spans="5:5" ht="16" x14ac:dyDescent="0.2">
      <c r="E359" s="10"/>
    </row>
    <row r="360" spans="5:5" ht="16" x14ac:dyDescent="0.2">
      <c r="E360" s="10"/>
    </row>
    <row r="361" spans="5:5" ht="16" x14ac:dyDescent="0.2">
      <c r="E361" s="10"/>
    </row>
    <row r="362" spans="5:5" ht="16" x14ac:dyDescent="0.2">
      <c r="E362" s="10"/>
    </row>
    <row r="363" spans="5:5" ht="16" x14ac:dyDescent="0.2">
      <c r="E363" s="10"/>
    </row>
    <row r="364" spans="5:5" ht="16" x14ac:dyDescent="0.2">
      <c r="E364" s="10"/>
    </row>
    <row r="365" spans="5:5" ht="16" x14ac:dyDescent="0.2">
      <c r="E365" s="10"/>
    </row>
    <row r="366" spans="5:5" ht="16" x14ac:dyDescent="0.2">
      <c r="E366" s="10"/>
    </row>
    <row r="367" spans="5:5" ht="16" x14ac:dyDescent="0.2">
      <c r="E367" s="10"/>
    </row>
    <row r="368" spans="5:5" ht="16" x14ac:dyDescent="0.2">
      <c r="E368" s="10"/>
    </row>
    <row r="369" spans="5:5" ht="16" x14ac:dyDescent="0.2">
      <c r="E369" s="10"/>
    </row>
    <row r="370" spans="5:5" ht="16" x14ac:dyDescent="0.2">
      <c r="E370" s="10"/>
    </row>
    <row r="371" spans="5:5" ht="16" x14ac:dyDescent="0.2">
      <c r="E371" s="10"/>
    </row>
    <row r="372" spans="5:5" ht="16" x14ac:dyDescent="0.2">
      <c r="E372" s="10"/>
    </row>
    <row r="373" spans="5:5" ht="16" x14ac:dyDescent="0.2">
      <c r="E373" s="10"/>
    </row>
    <row r="374" spans="5:5" ht="16" x14ac:dyDescent="0.2">
      <c r="E374" s="10"/>
    </row>
    <row r="375" spans="5:5" ht="16" x14ac:dyDescent="0.2">
      <c r="E375" s="10"/>
    </row>
    <row r="376" spans="5:5" ht="16" x14ac:dyDescent="0.2">
      <c r="E376" s="10"/>
    </row>
    <row r="377" spans="5:5" ht="16" x14ac:dyDescent="0.2">
      <c r="E377" s="10"/>
    </row>
    <row r="378" spans="5:5" ht="16" x14ac:dyDescent="0.2">
      <c r="E378" s="10"/>
    </row>
    <row r="379" spans="5:5" ht="16" x14ac:dyDescent="0.2">
      <c r="E379" s="10"/>
    </row>
    <row r="380" spans="5:5" ht="16" x14ac:dyDescent="0.2">
      <c r="E380" s="10"/>
    </row>
    <row r="381" spans="5:5" ht="16" x14ac:dyDescent="0.2">
      <c r="E381" s="10"/>
    </row>
    <row r="382" spans="5:5" ht="16" x14ac:dyDescent="0.2">
      <c r="E382" s="10"/>
    </row>
    <row r="383" spans="5:5" ht="16" x14ac:dyDescent="0.2">
      <c r="E383" s="10"/>
    </row>
    <row r="384" spans="5:5" ht="16" x14ac:dyDescent="0.2">
      <c r="E384" s="10"/>
    </row>
    <row r="385" spans="5:5" ht="16" x14ac:dyDescent="0.2">
      <c r="E385" s="10"/>
    </row>
    <row r="386" spans="5:5" ht="16" x14ac:dyDescent="0.2">
      <c r="E386" s="10"/>
    </row>
    <row r="387" spans="5:5" ht="16" x14ac:dyDescent="0.2">
      <c r="E387" s="10"/>
    </row>
    <row r="388" spans="5:5" ht="16" x14ac:dyDescent="0.2">
      <c r="E388" s="10"/>
    </row>
    <row r="389" spans="5:5" ht="16" x14ac:dyDescent="0.2">
      <c r="E389" s="10"/>
    </row>
    <row r="390" spans="5:5" ht="16" x14ac:dyDescent="0.2">
      <c r="E390" s="10"/>
    </row>
    <row r="391" spans="5:5" ht="16" x14ac:dyDescent="0.2">
      <c r="E391" s="10"/>
    </row>
    <row r="392" spans="5:5" ht="16" x14ac:dyDescent="0.2">
      <c r="E392" s="10"/>
    </row>
    <row r="393" spans="5:5" ht="16" x14ac:dyDescent="0.2">
      <c r="E393" s="10"/>
    </row>
    <row r="394" spans="5:5" ht="16" x14ac:dyDescent="0.2">
      <c r="E394" s="10"/>
    </row>
    <row r="395" spans="5:5" ht="16" x14ac:dyDescent="0.2">
      <c r="E395" s="10"/>
    </row>
    <row r="396" spans="5:5" ht="16" x14ac:dyDescent="0.2">
      <c r="E396" s="10"/>
    </row>
    <row r="397" spans="5:5" ht="16" x14ac:dyDescent="0.2">
      <c r="E397" s="10"/>
    </row>
    <row r="398" spans="5:5" ht="16" x14ac:dyDescent="0.2">
      <c r="E398" s="10"/>
    </row>
    <row r="399" spans="5:5" ht="16" x14ac:dyDescent="0.2">
      <c r="E399" s="10"/>
    </row>
    <row r="400" spans="5:5" ht="16" x14ac:dyDescent="0.2">
      <c r="E400" s="10"/>
    </row>
    <row r="401" spans="5:5" ht="16" x14ac:dyDescent="0.2">
      <c r="E401" s="10"/>
    </row>
    <row r="402" spans="5:5" ht="16" x14ac:dyDescent="0.2">
      <c r="E402" s="10"/>
    </row>
    <row r="403" spans="5:5" ht="16" x14ac:dyDescent="0.2">
      <c r="E403" s="10"/>
    </row>
    <row r="404" spans="5:5" ht="16" x14ac:dyDescent="0.2">
      <c r="E404" s="10"/>
    </row>
    <row r="405" spans="5:5" ht="16" x14ac:dyDescent="0.2">
      <c r="E405" s="10"/>
    </row>
    <row r="406" spans="5:5" ht="16" x14ac:dyDescent="0.2">
      <c r="E406" s="10"/>
    </row>
    <row r="407" spans="5:5" ht="16" x14ac:dyDescent="0.2">
      <c r="E407" s="10"/>
    </row>
    <row r="408" spans="5:5" ht="16" x14ac:dyDescent="0.2">
      <c r="E408" s="10"/>
    </row>
    <row r="409" spans="5:5" ht="16" x14ac:dyDescent="0.2">
      <c r="E409" s="10"/>
    </row>
    <row r="410" spans="5:5" ht="16" x14ac:dyDescent="0.2">
      <c r="E410" s="10"/>
    </row>
    <row r="411" spans="5:5" ht="16" x14ac:dyDescent="0.2">
      <c r="E411" s="10"/>
    </row>
    <row r="412" spans="5:5" ht="16" x14ac:dyDescent="0.2">
      <c r="E412" s="10"/>
    </row>
    <row r="413" spans="5:5" ht="16" x14ac:dyDescent="0.2">
      <c r="E413" s="10"/>
    </row>
    <row r="414" spans="5:5" ht="16" x14ac:dyDescent="0.2">
      <c r="E414" s="10"/>
    </row>
    <row r="415" spans="5:5" ht="16" x14ac:dyDescent="0.2">
      <c r="E415" s="10"/>
    </row>
    <row r="416" spans="5:5" ht="16" x14ac:dyDescent="0.2">
      <c r="E416" s="10"/>
    </row>
    <row r="417" spans="5:5" ht="16" x14ac:dyDescent="0.2">
      <c r="E417" s="10"/>
    </row>
    <row r="418" spans="5:5" ht="16" x14ac:dyDescent="0.2">
      <c r="E418" s="10"/>
    </row>
    <row r="419" spans="5:5" ht="16" x14ac:dyDescent="0.2">
      <c r="E419" s="10"/>
    </row>
    <row r="420" spans="5:5" ht="16" x14ac:dyDescent="0.2">
      <c r="E420" s="10"/>
    </row>
    <row r="421" spans="5:5" ht="16" x14ac:dyDescent="0.2">
      <c r="E421" s="10"/>
    </row>
    <row r="422" spans="5:5" ht="16" x14ac:dyDescent="0.2">
      <c r="E422" s="10"/>
    </row>
    <row r="423" spans="5:5" ht="16" x14ac:dyDescent="0.2">
      <c r="E423" s="10"/>
    </row>
    <row r="424" spans="5:5" ht="16" x14ac:dyDescent="0.2">
      <c r="E424" s="10"/>
    </row>
    <row r="425" spans="5:5" ht="16" x14ac:dyDescent="0.2">
      <c r="E425" s="10"/>
    </row>
    <row r="426" spans="5:5" ht="16" x14ac:dyDescent="0.2">
      <c r="E426" s="10"/>
    </row>
    <row r="427" spans="5:5" ht="16" x14ac:dyDescent="0.2">
      <c r="E427" s="10"/>
    </row>
    <row r="428" spans="5:5" ht="16" x14ac:dyDescent="0.2">
      <c r="E428" s="10"/>
    </row>
    <row r="429" spans="5:5" ht="16" x14ac:dyDescent="0.2">
      <c r="E429" s="10"/>
    </row>
    <row r="430" spans="5:5" ht="16" x14ac:dyDescent="0.2">
      <c r="E430" s="10"/>
    </row>
    <row r="431" spans="5:5" ht="16" x14ac:dyDescent="0.2">
      <c r="E431" s="10"/>
    </row>
    <row r="432" spans="5:5" ht="16" x14ac:dyDescent="0.2">
      <c r="E432" s="10"/>
    </row>
    <row r="433" spans="5:5" ht="16" x14ac:dyDescent="0.2">
      <c r="E433" s="10"/>
    </row>
    <row r="434" spans="5:5" ht="16" x14ac:dyDescent="0.2">
      <c r="E434" s="10"/>
    </row>
    <row r="435" spans="5:5" ht="16" x14ac:dyDescent="0.2">
      <c r="E435" s="10"/>
    </row>
    <row r="436" spans="5:5" ht="16" x14ac:dyDescent="0.2">
      <c r="E436" s="10"/>
    </row>
    <row r="437" spans="5:5" ht="16" x14ac:dyDescent="0.2">
      <c r="E437" s="10"/>
    </row>
    <row r="438" spans="5:5" ht="16" x14ac:dyDescent="0.2">
      <c r="E438" s="10"/>
    </row>
    <row r="439" spans="5:5" ht="16" x14ac:dyDescent="0.2">
      <c r="E439" s="10"/>
    </row>
    <row r="440" spans="5:5" ht="16" x14ac:dyDescent="0.2">
      <c r="E440" s="10"/>
    </row>
    <row r="441" spans="5:5" ht="16" x14ac:dyDescent="0.2">
      <c r="E441" s="10"/>
    </row>
    <row r="442" spans="5:5" ht="16" x14ac:dyDescent="0.2">
      <c r="E442" s="10"/>
    </row>
    <row r="443" spans="5:5" ht="16" x14ac:dyDescent="0.2">
      <c r="E443" s="10"/>
    </row>
    <row r="444" spans="5:5" ht="16" x14ac:dyDescent="0.2">
      <c r="E444" s="10"/>
    </row>
    <row r="445" spans="5:5" ht="16" x14ac:dyDescent="0.2">
      <c r="E445" s="10"/>
    </row>
    <row r="446" spans="5:5" ht="16" x14ac:dyDescent="0.2">
      <c r="E446" s="10"/>
    </row>
    <row r="447" spans="5:5" ht="16" x14ac:dyDescent="0.2">
      <c r="E447" s="10"/>
    </row>
    <row r="448" spans="5:5" ht="16" x14ac:dyDescent="0.2">
      <c r="E448" s="10"/>
    </row>
    <row r="449" spans="5:5" ht="16" x14ac:dyDescent="0.2">
      <c r="E449" s="10"/>
    </row>
    <row r="450" spans="5:5" ht="16" x14ac:dyDescent="0.2">
      <c r="E450" s="10"/>
    </row>
    <row r="451" spans="5:5" ht="16" x14ac:dyDescent="0.2">
      <c r="E451" s="10"/>
    </row>
    <row r="452" spans="5:5" ht="16" x14ac:dyDescent="0.2">
      <c r="E452" s="10"/>
    </row>
    <row r="453" spans="5:5" ht="16" x14ac:dyDescent="0.2">
      <c r="E453" s="10"/>
    </row>
    <row r="454" spans="5:5" ht="16" x14ac:dyDescent="0.2">
      <c r="E454" s="10"/>
    </row>
    <row r="455" spans="5:5" ht="16" x14ac:dyDescent="0.2">
      <c r="E455" s="10"/>
    </row>
    <row r="456" spans="5:5" ht="16" x14ac:dyDescent="0.2">
      <c r="E456" s="10"/>
    </row>
    <row r="457" spans="5:5" ht="16" x14ac:dyDescent="0.2">
      <c r="E457" s="10"/>
    </row>
    <row r="458" spans="5:5" ht="16" x14ac:dyDescent="0.2">
      <c r="E458" s="10"/>
    </row>
    <row r="459" spans="5:5" ht="16" x14ac:dyDescent="0.2">
      <c r="E459" s="10"/>
    </row>
    <row r="460" spans="5:5" ht="16" x14ac:dyDescent="0.2">
      <c r="E460" s="10"/>
    </row>
    <row r="461" spans="5:5" ht="16" x14ac:dyDescent="0.2">
      <c r="E461" s="10"/>
    </row>
    <row r="462" spans="5:5" ht="16" x14ac:dyDescent="0.2">
      <c r="E462" s="10"/>
    </row>
    <row r="463" spans="5:5" ht="16" x14ac:dyDescent="0.2">
      <c r="E463" s="10"/>
    </row>
    <row r="464" spans="5:5" ht="16" x14ac:dyDescent="0.2">
      <c r="E464" s="10"/>
    </row>
    <row r="465" spans="5:5" ht="16" x14ac:dyDescent="0.2">
      <c r="E465" s="10"/>
    </row>
    <row r="466" spans="5:5" ht="16" x14ac:dyDescent="0.2">
      <c r="E466" s="10"/>
    </row>
    <row r="467" spans="5:5" ht="16" x14ac:dyDescent="0.2">
      <c r="E467" s="10"/>
    </row>
    <row r="468" spans="5:5" ht="16" x14ac:dyDescent="0.2">
      <c r="E468" s="10"/>
    </row>
    <row r="469" spans="5:5" ht="16" x14ac:dyDescent="0.2">
      <c r="E469" s="10"/>
    </row>
    <row r="470" spans="5:5" ht="16" x14ac:dyDescent="0.2">
      <c r="E470" s="10"/>
    </row>
    <row r="471" spans="5:5" ht="16" x14ac:dyDescent="0.2">
      <c r="E471" s="10"/>
    </row>
    <row r="472" spans="5:5" ht="16" x14ac:dyDescent="0.2">
      <c r="E472" s="10"/>
    </row>
    <row r="473" spans="5:5" ht="16" x14ac:dyDescent="0.2">
      <c r="E473" s="10"/>
    </row>
    <row r="474" spans="5:5" ht="16" x14ac:dyDescent="0.2">
      <c r="E474" s="10"/>
    </row>
    <row r="475" spans="5:5" ht="16" x14ac:dyDescent="0.2">
      <c r="E475" s="10"/>
    </row>
    <row r="476" spans="5:5" ht="16" x14ac:dyDescent="0.2">
      <c r="E476" s="10"/>
    </row>
    <row r="477" spans="5:5" ht="16" x14ac:dyDescent="0.2">
      <c r="E477" s="10"/>
    </row>
    <row r="478" spans="5:5" ht="16" x14ac:dyDescent="0.2">
      <c r="E478" s="10"/>
    </row>
    <row r="479" spans="5:5" ht="16" x14ac:dyDescent="0.2">
      <c r="E479" s="10"/>
    </row>
    <row r="480" spans="5:5" ht="16" x14ac:dyDescent="0.2">
      <c r="E480" s="10"/>
    </row>
    <row r="481" spans="5:5" ht="16" x14ac:dyDescent="0.2">
      <c r="E481" s="10"/>
    </row>
    <row r="482" spans="5:5" ht="16" x14ac:dyDescent="0.2">
      <c r="E482" s="10"/>
    </row>
    <row r="483" spans="5:5" ht="16" x14ac:dyDescent="0.2">
      <c r="E483" s="10"/>
    </row>
    <row r="484" spans="5:5" ht="16" x14ac:dyDescent="0.2">
      <c r="E484" s="10"/>
    </row>
    <row r="485" spans="5:5" ht="16" x14ac:dyDescent="0.2">
      <c r="E485" s="10"/>
    </row>
    <row r="486" spans="5:5" ht="16" x14ac:dyDescent="0.2">
      <c r="E486" s="10"/>
    </row>
    <row r="487" spans="5:5" ht="16" x14ac:dyDescent="0.2">
      <c r="E487" s="10"/>
    </row>
    <row r="488" spans="5:5" ht="16" x14ac:dyDescent="0.2">
      <c r="E488" s="10"/>
    </row>
    <row r="489" spans="5:5" ht="16" x14ac:dyDescent="0.2">
      <c r="E489" s="10"/>
    </row>
    <row r="490" spans="5:5" ht="16" x14ac:dyDescent="0.2">
      <c r="E490" s="10"/>
    </row>
    <row r="491" spans="5:5" ht="16" x14ac:dyDescent="0.2">
      <c r="E491" s="10"/>
    </row>
    <row r="492" spans="5:5" ht="16" x14ac:dyDescent="0.2">
      <c r="E492" s="10"/>
    </row>
    <row r="493" spans="5:5" ht="16" x14ac:dyDescent="0.2">
      <c r="E493" s="10"/>
    </row>
    <row r="494" spans="5:5" ht="16" x14ac:dyDescent="0.2">
      <c r="E494" s="10"/>
    </row>
    <row r="495" spans="5:5" ht="16" x14ac:dyDescent="0.2">
      <c r="E495" s="10"/>
    </row>
    <row r="496" spans="5:5" ht="16" x14ac:dyDescent="0.2">
      <c r="E496" s="10"/>
    </row>
    <row r="497" spans="5:5" ht="16" x14ac:dyDescent="0.2">
      <c r="E497" s="10"/>
    </row>
    <row r="498" spans="5:5" ht="16" x14ac:dyDescent="0.2">
      <c r="E498" s="10"/>
    </row>
    <row r="499" spans="5:5" ht="16" x14ac:dyDescent="0.2">
      <c r="E499" s="10"/>
    </row>
    <row r="500" spans="5:5" ht="16" x14ac:dyDescent="0.2">
      <c r="E500" s="10"/>
    </row>
    <row r="501" spans="5:5" ht="16" x14ac:dyDescent="0.2">
      <c r="E501" s="10"/>
    </row>
    <row r="502" spans="5:5" ht="16" x14ac:dyDescent="0.2">
      <c r="E502" s="10"/>
    </row>
    <row r="503" spans="5:5" ht="16" x14ac:dyDescent="0.2">
      <c r="E503" s="10"/>
    </row>
    <row r="504" spans="5:5" ht="16" x14ac:dyDescent="0.2">
      <c r="E504" s="10"/>
    </row>
    <row r="505" spans="5:5" ht="16" x14ac:dyDescent="0.2">
      <c r="E505" s="10"/>
    </row>
    <row r="506" spans="5:5" ht="16" x14ac:dyDescent="0.2">
      <c r="E506" s="10"/>
    </row>
    <row r="507" spans="5:5" ht="16" x14ac:dyDescent="0.2">
      <c r="E507" s="10"/>
    </row>
    <row r="508" spans="5:5" ht="16" x14ac:dyDescent="0.2">
      <c r="E508" s="10"/>
    </row>
    <row r="509" spans="5:5" ht="16" x14ac:dyDescent="0.2">
      <c r="E509" s="10"/>
    </row>
    <row r="510" spans="5:5" ht="16" x14ac:dyDescent="0.2">
      <c r="E510" s="10"/>
    </row>
    <row r="511" spans="5:5" ht="16" x14ac:dyDescent="0.2">
      <c r="E511" s="10"/>
    </row>
    <row r="512" spans="5:5" ht="16" x14ac:dyDescent="0.2">
      <c r="E512" s="10"/>
    </row>
    <row r="513" spans="5:5" ht="16" x14ac:dyDescent="0.2">
      <c r="E513" s="10"/>
    </row>
    <row r="514" spans="5:5" ht="16" x14ac:dyDescent="0.2">
      <c r="E514" s="10"/>
    </row>
    <row r="515" spans="5:5" ht="16" x14ac:dyDescent="0.2">
      <c r="E515" s="10"/>
    </row>
    <row r="516" spans="5:5" ht="16" x14ac:dyDescent="0.2">
      <c r="E516" s="10"/>
    </row>
    <row r="517" spans="5:5" ht="16" x14ac:dyDescent="0.2">
      <c r="E517" s="10"/>
    </row>
    <row r="518" spans="5:5" ht="16" x14ac:dyDescent="0.2">
      <c r="E518" s="10"/>
    </row>
    <row r="519" spans="5:5" ht="16" x14ac:dyDescent="0.2">
      <c r="E519" s="10"/>
    </row>
    <row r="520" spans="5:5" ht="16" x14ac:dyDescent="0.2">
      <c r="E520" s="10"/>
    </row>
    <row r="521" spans="5:5" ht="16" x14ac:dyDescent="0.2">
      <c r="E521" s="10"/>
    </row>
    <row r="522" spans="5:5" ht="16" x14ac:dyDescent="0.2">
      <c r="E522" s="10"/>
    </row>
    <row r="523" spans="5:5" ht="16" x14ac:dyDescent="0.2">
      <c r="E523" s="10"/>
    </row>
    <row r="524" spans="5:5" ht="16" x14ac:dyDescent="0.2">
      <c r="E524" s="10"/>
    </row>
    <row r="525" spans="5:5" ht="16" x14ac:dyDescent="0.2">
      <c r="E525" s="10"/>
    </row>
    <row r="526" spans="5:5" ht="16" x14ac:dyDescent="0.2">
      <c r="E526" s="10"/>
    </row>
    <row r="527" spans="5:5" ht="16" x14ac:dyDescent="0.2">
      <c r="E527" s="10"/>
    </row>
    <row r="528" spans="5:5" ht="16" x14ac:dyDescent="0.2">
      <c r="E528" s="10"/>
    </row>
    <row r="529" spans="5:5" ht="16" x14ac:dyDescent="0.2">
      <c r="E529" s="10"/>
    </row>
    <row r="530" spans="5:5" ht="16" x14ac:dyDescent="0.2">
      <c r="E530" s="10"/>
    </row>
    <row r="531" spans="5:5" ht="16" x14ac:dyDescent="0.2">
      <c r="E531" s="10"/>
    </row>
    <row r="532" spans="5:5" ht="16" x14ac:dyDescent="0.2">
      <c r="E532" s="10"/>
    </row>
    <row r="533" spans="5:5" ht="16" x14ac:dyDescent="0.2">
      <c r="E533" s="10"/>
    </row>
    <row r="534" spans="5:5" ht="16" x14ac:dyDescent="0.2">
      <c r="E534" s="10"/>
    </row>
    <row r="535" spans="5:5" ht="16" x14ac:dyDescent="0.2">
      <c r="E535" s="10"/>
    </row>
    <row r="536" spans="5:5" ht="16" x14ac:dyDescent="0.2">
      <c r="E536" s="10"/>
    </row>
    <row r="537" spans="5:5" ht="16" x14ac:dyDescent="0.2">
      <c r="E537" s="10"/>
    </row>
    <row r="538" spans="5:5" ht="16" x14ac:dyDescent="0.2">
      <c r="E538" s="10"/>
    </row>
    <row r="539" spans="5:5" ht="16" x14ac:dyDescent="0.2">
      <c r="E539" s="10"/>
    </row>
    <row r="540" spans="5:5" ht="16" x14ac:dyDescent="0.2">
      <c r="E540" s="10"/>
    </row>
    <row r="541" spans="5:5" ht="16" x14ac:dyDescent="0.2">
      <c r="E541" s="10"/>
    </row>
    <row r="542" spans="5:5" ht="16" x14ac:dyDescent="0.2">
      <c r="E542" s="10"/>
    </row>
    <row r="543" spans="5:5" ht="16" x14ac:dyDescent="0.2">
      <c r="E543" s="10"/>
    </row>
    <row r="544" spans="5:5" ht="16" x14ac:dyDescent="0.2">
      <c r="E544" s="10"/>
    </row>
    <row r="545" spans="5:5" ht="16" x14ac:dyDescent="0.2">
      <c r="E545" s="10"/>
    </row>
    <row r="546" spans="5:5" ht="16" x14ac:dyDescent="0.2">
      <c r="E546" s="10"/>
    </row>
    <row r="547" spans="5:5" ht="16" x14ac:dyDescent="0.2">
      <c r="E547" s="10"/>
    </row>
    <row r="548" spans="5:5" ht="16" x14ac:dyDescent="0.2">
      <c r="E548" s="10"/>
    </row>
    <row r="549" spans="5:5" ht="16" x14ac:dyDescent="0.2">
      <c r="E549" s="10"/>
    </row>
    <row r="550" spans="5:5" ht="16" x14ac:dyDescent="0.2">
      <c r="E550" s="10"/>
    </row>
    <row r="551" spans="5:5" ht="16" x14ac:dyDescent="0.2">
      <c r="E551" s="10"/>
    </row>
    <row r="552" spans="5:5" ht="16" x14ac:dyDescent="0.2">
      <c r="E552" s="10"/>
    </row>
    <row r="553" spans="5:5" ht="16" x14ac:dyDescent="0.2">
      <c r="E553" s="10"/>
    </row>
    <row r="554" spans="5:5" ht="16" x14ac:dyDescent="0.2">
      <c r="E554" s="10"/>
    </row>
    <row r="555" spans="5:5" ht="16" x14ac:dyDescent="0.2">
      <c r="E555" s="10"/>
    </row>
    <row r="556" spans="5:5" ht="16" x14ac:dyDescent="0.2">
      <c r="E556" s="10"/>
    </row>
    <row r="557" spans="5:5" ht="16" x14ac:dyDescent="0.2">
      <c r="E557" s="10"/>
    </row>
    <row r="558" spans="5:5" ht="16" x14ac:dyDescent="0.2">
      <c r="E558" s="10"/>
    </row>
    <row r="559" spans="5:5" ht="16" x14ac:dyDescent="0.2">
      <c r="E559" s="10"/>
    </row>
    <row r="560" spans="5:5" ht="16" x14ac:dyDescent="0.2">
      <c r="E560" s="10"/>
    </row>
    <row r="561" spans="5:5" ht="16" x14ac:dyDescent="0.2">
      <c r="E561" s="10"/>
    </row>
    <row r="562" spans="5:5" ht="16" x14ac:dyDescent="0.2">
      <c r="E562" s="10"/>
    </row>
    <row r="563" spans="5:5" ht="16" x14ac:dyDescent="0.2">
      <c r="E563" s="10"/>
    </row>
    <row r="564" spans="5:5" ht="16" x14ac:dyDescent="0.2">
      <c r="E564" s="10"/>
    </row>
    <row r="565" spans="5:5" ht="16" x14ac:dyDescent="0.2">
      <c r="E565" s="10"/>
    </row>
    <row r="566" spans="5:5" ht="16" x14ac:dyDescent="0.2">
      <c r="E566" s="10"/>
    </row>
    <row r="567" spans="5:5" ht="16" x14ac:dyDescent="0.2">
      <c r="E567" s="10"/>
    </row>
    <row r="568" spans="5:5" ht="16" x14ac:dyDescent="0.2">
      <c r="E568" s="10"/>
    </row>
    <row r="569" spans="5:5" ht="16" x14ac:dyDescent="0.2">
      <c r="E569" s="10"/>
    </row>
    <row r="570" spans="5:5" ht="16" x14ac:dyDescent="0.2">
      <c r="E570" s="10"/>
    </row>
    <row r="571" spans="5:5" ht="16" x14ac:dyDescent="0.2">
      <c r="E571" s="10"/>
    </row>
    <row r="572" spans="5:5" ht="16" x14ac:dyDescent="0.2">
      <c r="E572" s="10"/>
    </row>
    <row r="573" spans="5:5" ht="16" x14ac:dyDescent="0.2">
      <c r="E573" s="10"/>
    </row>
    <row r="574" spans="5:5" ht="16" x14ac:dyDescent="0.2">
      <c r="E574" s="10"/>
    </row>
    <row r="575" spans="5:5" ht="16" x14ac:dyDescent="0.2">
      <c r="E575" s="10"/>
    </row>
    <row r="576" spans="5:5" ht="16" x14ac:dyDescent="0.2">
      <c r="E576" s="10"/>
    </row>
    <row r="577" spans="5:5" ht="16" x14ac:dyDescent="0.2">
      <c r="E577" s="10"/>
    </row>
    <row r="578" spans="5:5" ht="16" x14ac:dyDescent="0.2">
      <c r="E578" s="10"/>
    </row>
    <row r="579" spans="5:5" ht="16" x14ac:dyDescent="0.2">
      <c r="E579" s="10"/>
    </row>
    <row r="580" spans="5:5" ht="16" x14ac:dyDescent="0.2">
      <c r="E580" s="10"/>
    </row>
    <row r="581" spans="5:5" ht="16" x14ac:dyDescent="0.2">
      <c r="E581" s="10"/>
    </row>
    <row r="582" spans="5:5" ht="16" x14ac:dyDescent="0.2">
      <c r="E582" s="10"/>
    </row>
    <row r="583" spans="5:5" ht="16" x14ac:dyDescent="0.2">
      <c r="E583" s="10"/>
    </row>
    <row r="584" spans="5:5" ht="16" x14ac:dyDescent="0.2">
      <c r="E584" s="10"/>
    </row>
    <row r="585" spans="5:5" ht="16" x14ac:dyDescent="0.2">
      <c r="E585" s="10"/>
    </row>
    <row r="586" spans="5:5" ht="16" x14ac:dyDescent="0.2">
      <c r="E586" s="10"/>
    </row>
    <row r="587" spans="5:5" ht="16" x14ac:dyDescent="0.2">
      <c r="E587" s="10"/>
    </row>
    <row r="588" spans="5:5" ht="16" x14ac:dyDescent="0.2">
      <c r="E588" s="10"/>
    </row>
    <row r="589" spans="5:5" ht="16" x14ac:dyDescent="0.2">
      <c r="E589" s="10"/>
    </row>
    <row r="590" spans="5:5" ht="16" x14ac:dyDescent="0.2">
      <c r="E590" s="10"/>
    </row>
    <row r="591" spans="5:5" ht="16" x14ac:dyDescent="0.2">
      <c r="E591" s="10"/>
    </row>
    <row r="592" spans="5:5" ht="16" x14ac:dyDescent="0.2">
      <c r="E592" s="10"/>
    </row>
    <row r="593" spans="5:5" ht="16" x14ac:dyDescent="0.2">
      <c r="E593" s="10"/>
    </row>
    <row r="594" spans="5:5" ht="16" x14ac:dyDescent="0.2">
      <c r="E594" s="10"/>
    </row>
    <row r="595" spans="5:5" ht="16" x14ac:dyDescent="0.2">
      <c r="E595" s="10"/>
    </row>
    <row r="596" spans="5:5" ht="16" x14ac:dyDescent="0.2">
      <c r="E596" s="10"/>
    </row>
    <row r="597" spans="5:5" ht="16" x14ac:dyDescent="0.2">
      <c r="E597" s="10"/>
    </row>
    <row r="598" spans="5:5" ht="16" x14ac:dyDescent="0.2">
      <c r="E598" s="10"/>
    </row>
    <row r="599" spans="5:5" ht="16" x14ac:dyDescent="0.2">
      <c r="E599" s="10"/>
    </row>
    <row r="600" spans="5:5" ht="16" x14ac:dyDescent="0.2">
      <c r="E600" s="10"/>
    </row>
    <row r="601" spans="5:5" ht="16" x14ac:dyDescent="0.2">
      <c r="E601" s="10"/>
    </row>
    <row r="602" spans="5:5" ht="16" x14ac:dyDescent="0.2">
      <c r="E602" s="10"/>
    </row>
    <row r="603" spans="5:5" ht="16" x14ac:dyDescent="0.2">
      <c r="E603" s="10"/>
    </row>
    <row r="604" spans="5:5" ht="16" x14ac:dyDescent="0.2">
      <c r="E604" s="10"/>
    </row>
    <row r="605" spans="5:5" ht="16" x14ac:dyDescent="0.2">
      <c r="E605" s="10"/>
    </row>
    <row r="606" spans="5:5" ht="16" x14ac:dyDescent="0.2">
      <c r="E606" s="10"/>
    </row>
    <row r="607" spans="5:5" ht="16" x14ac:dyDescent="0.2">
      <c r="E607" s="10"/>
    </row>
    <row r="608" spans="5:5" ht="16" x14ac:dyDescent="0.2">
      <c r="E608" s="10"/>
    </row>
    <row r="609" spans="5:5" ht="16" x14ac:dyDescent="0.2">
      <c r="E609" s="10"/>
    </row>
    <row r="610" spans="5:5" ht="16" x14ac:dyDescent="0.2">
      <c r="E610" s="10"/>
    </row>
    <row r="611" spans="5:5" ht="16" x14ac:dyDescent="0.2">
      <c r="E611" s="10"/>
    </row>
    <row r="612" spans="5:5" ht="16" x14ac:dyDescent="0.2">
      <c r="E612" s="10"/>
    </row>
    <row r="613" spans="5:5" ht="16" x14ac:dyDescent="0.2">
      <c r="E613" s="10"/>
    </row>
    <row r="614" spans="5:5" ht="16" x14ac:dyDescent="0.2">
      <c r="E614" s="10"/>
    </row>
    <row r="615" spans="5:5" ht="16" x14ac:dyDescent="0.2">
      <c r="E615" s="10"/>
    </row>
    <row r="616" spans="5:5" ht="16" x14ac:dyDescent="0.2">
      <c r="E616" s="10"/>
    </row>
    <row r="617" spans="5:5" ht="16" x14ac:dyDescent="0.2">
      <c r="E617" s="10"/>
    </row>
    <row r="618" spans="5:5" ht="16" x14ac:dyDescent="0.2">
      <c r="E618" s="10"/>
    </row>
    <row r="619" spans="5:5" ht="16" x14ac:dyDescent="0.2">
      <c r="E619" s="10"/>
    </row>
    <row r="620" spans="5:5" ht="16" x14ac:dyDescent="0.2">
      <c r="E620" s="10"/>
    </row>
    <row r="621" spans="5:5" ht="16" x14ac:dyDescent="0.2">
      <c r="E621" s="10"/>
    </row>
    <row r="622" spans="5:5" ht="16" x14ac:dyDescent="0.2">
      <c r="E622" s="10"/>
    </row>
    <row r="623" spans="5:5" ht="16" x14ac:dyDescent="0.2">
      <c r="E623" s="10"/>
    </row>
    <row r="624" spans="5:5" ht="16" x14ac:dyDescent="0.2">
      <c r="E624" s="10"/>
    </row>
    <row r="625" spans="5:5" ht="16" x14ac:dyDescent="0.2">
      <c r="E625" s="10"/>
    </row>
    <row r="626" spans="5:5" ht="16" x14ac:dyDescent="0.2">
      <c r="E626" s="10"/>
    </row>
    <row r="627" spans="5:5" ht="16" x14ac:dyDescent="0.2">
      <c r="E627" s="10"/>
    </row>
    <row r="628" spans="5:5" ht="16" x14ac:dyDescent="0.2">
      <c r="E628" s="10"/>
    </row>
    <row r="629" spans="5:5" ht="16" x14ac:dyDescent="0.2">
      <c r="E629" s="10"/>
    </row>
    <row r="630" spans="5:5" ht="16" x14ac:dyDescent="0.2">
      <c r="E630" s="10"/>
    </row>
    <row r="631" spans="5:5" ht="16" x14ac:dyDescent="0.2">
      <c r="E631" s="10"/>
    </row>
    <row r="632" spans="5:5" ht="16" x14ac:dyDescent="0.2">
      <c r="E632" s="10"/>
    </row>
    <row r="633" spans="5:5" ht="16" x14ac:dyDescent="0.2">
      <c r="E633" s="10"/>
    </row>
    <row r="634" spans="5:5" ht="16" x14ac:dyDescent="0.2">
      <c r="E634" s="10"/>
    </row>
    <row r="635" spans="5:5" ht="16" x14ac:dyDescent="0.2">
      <c r="E635" s="10"/>
    </row>
    <row r="636" spans="5:5" ht="16" x14ac:dyDescent="0.2">
      <c r="E636" s="10"/>
    </row>
    <row r="637" spans="5:5" ht="16" x14ac:dyDescent="0.2">
      <c r="E637" s="10"/>
    </row>
    <row r="638" spans="5:5" ht="16" x14ac:dyDescent="0.2">
      <c r="E638" s="10"/>
    </row>
    <row r="639" spans="5:5" ht="16" x14ac:dyDescent="0.2">
      <c r="E639" s="10"/>
    </row>
    <row r="640" spans="5:5" ht="16" x14ac:dyDescent="0.2">
      <c r="E640" s="10"/>
    </row>
    <row r="641" spans="5:5" ht="16" x14ac:dyDescent="0.2">
      <c r="E641" s="10"/>
    </row>
    <row r="642" spans="5:5" ht="16" x14ac:dyDescent="0.2">
      <c r="E642" s="10"/>
    </row>
    <row r="643" spans="5:5" ht="16" x14ac:dyDescent="0.2">
      <c r="E643" s="10"/>
    </row>
    <row r="644" spans="5:5" ht="16" x14ac:dyDescent="0.2">
      <c r="E644" s="10"/>
    </row>
    <row r="645" spans="5:5" ht="16" x14ac:dyDescent="0.2">
      <c r="E645" s="10"/>
    </row>
    <row r="646" spans="5:5" ht="16" x14ac:dyDescent="0.2">
      <c r="E646" s="10"/>
    </row>
    <row r="647" spans="5:5" ht="16" x14ac:dyDescent="0.2">
      <c r="E647" s="10"/>
    </row>
    <row r="648" spans="5:5" ht="16" x14ac:dyDescent="0.2">
      <c r="E648" s="10"/>
    </row>
    <row r="649" spans="5:5" ht="16" x14ac:dyDescent="0.2">
      <c r="E649" s="10"/>
    </row>
    <row r="650" spans="5:5" ht="16" x14ac:dyDescent="0.2">
      <c r="E650" s="10"/>
    </row>
    <row r="651" spans="5:5" ht="16" x14ac:dyDescent="0.2">
      <c r="E651" s="10"/>
    </row>
    <row r="652" spans="5:5" ht="16" x14ac:dyDescent="0.2">
      <c r="E652" s="10"/>
    </row>
    <row r="653" spans="5:5" ht="16" x14ac:dyDescent="0.2">
      <c r="E653" s="10"/>
    </row>
    <row r="654" spans="5:5" ht="16" x14ac:dyDescent="0.2">
      <c r="E654" s="10"/>
    </row>
    <row r="655" spans="5:5" ht="16" x14ac:dyDescent="0.2">
      <c r="E655" s="10"/>
    </row>
    <row r="656" spans="5:5" ht="16" x14ac:dyDescent="0.2">
      <c r="E656" s="10"/>
    </row>
    <row r="657" spans="5:5" ht="16" x14ac:dyDescent="0.2">
      <c r="E657" s="10"/>
    </row>
    <row r="658" spans="5:5" ht="16" x14ac:dyDescent="0.2">
      <c r="E658" s="10"/>
    </row>
    <row r="659" spans="5:5" ht="16" x14ac:dyDescent="0.2">
      <c r="E659" s="10"/>
    </row>
    <row r="660" spans="5:5" ht="16" x14ac:dyDescent="0.2">
      <c r="E660" s="10"/>
    </row>
    <row r="661" spans="5:5" ht="16" x14ac:dyDescent="0.2">
      <c r="E661" s="10"/>
    </row>
    <row r="662" spans="5:5" ht="16" x14ac:dyDescent="0.2">
      <c r="E662" s="10"/>
    </row>
    <row r="663" spans="5:5" ht="16" x14ac:dyDescent="0.2">
      <c r="E663" s="10"/>
    </row>
    <row r="664" spans="5:5" ht="16" x14ac:dyDescent="0.2">
      <c r="E664" s="10"/>
    </row>
    <row r="665" spans="5:5" ht="16" x14ac:dyDescent="0.2">
      <c r="E665" s="10"/>
    </row>
    <row r="666" spans="5:5" ht="16" x14ac:dyDescent="0.2">
      <c r="E666" s="10"/>
    </row>
    <row r="667" spans="5:5" ht="16" x14ac:dyDescent="0.2">
      <c r="E667" s="10"/>
    </row>
    <row r="668" spans="5:5" ht="16" x14ac:dyDescent="0.2">
      <c r="E668" s="10"/>
    </row>
    <row r="669" spans="5:5" ht="16" x14ac:dyDescent="0.2">
      <c r="E669" s="10"/>
    </row>
    <row r="670" spans="5:5" ht="16" x14ac:dyDescent="0.2">
      <c r="E670" s="10"/>
    </row>
    <row r="671" spans="5:5" ht="16" x14ac:dyDescent="0.2">
      <c r="E671" s="10"/>
    </row>
    <row r="672" spans="5:5" ht="16" x14ac:dyDescent="0.2">
      <c r="E672" s="10"/>
    </row>
    <row r="673" spans="5:5" ht="16" x14ac:dyDescent="0.2">
      <c r="E673" s="10"/>
    </row>
    <row r="674" spans="5:5" ht="16" x14ac:dyDescent="0.2">
      <c r="E674" s="10"/>
    </row>
    <row r="675" spans="5:5" ht="16" x14ac:dyDescent="0.2">
      <c r="E675" s="10"/>
    </row>
    <row r="676" spans="5:5" ht="16" x14ac:dyDescent="0.2">
      <c r="E676" s="10"/>
    </row>
    <row r="677" spans="5:5" ht="16" x14ac:dyDescent="0.2">
      <c r="E677" s="10"/>
    </row>
    <row r="678" spans="5:5" ht="16" x14ac:dyDescent="0.2">
      <c r="E678" s="10"/>
    </row>
    <row r="679" spans="5:5" ht="16" x14ac:dyDescent="0.2">
      <c r="E679" s="10"/>
    </row>
    <row r="680" spans="5:5" ht="16" x14ac:dyDescent="0.2">
      <c r="E680" s="10"/>
    </row>
    <row r="681" spans="5:5" ht="16" x14ac:dyDescent="0.2">
      <c r="E681" s="10"/>
    </row>
    <row r="682" spans="5:5" ht="16" x14ac:dyDescent="0.2">
      <c r="E682" s="10"/>
    </row>
    <row r="683" spans="5:5" ht="16" x14ac:dyDescent="0.2">
      <c r="E683" s="10"/>
    </row>
    <row r="684" spans="5:5" ht="16" x14ac:dyDescent="0.2">
      <c r="E684" s="10"/>
    </row>
    <row r="685" spans="5:5" ht="16" x14ac:dyDescent="0.2">
      <c r="E685" s="10"/>
    </row>
    <row r="686" spans="5:5" ht="16" x14ac:dyDescent="0.2">
      <c r="E686" s="10"/>
    </row>
    <row r="687" spans="5:5" ht="16" x14ac:dyDescent="0.2">
      <c r="E687" s="10"/>
    </row>
    <row r="688" spans="5:5" ht="16" x14ac:dyDescent="0.2">
      <c r="E688" s="10"/>
    </row>
    <row r="689" spans="5:5" ht="16" x14ac:dyDescent="0.2">
      <c r="E689" s="10"/>
    </row>
    <row r="690" spans="5:5" ht="16" x14ac:dyDescent="0.2">
      <c r="E690" s="10"/>
    </row>
    <row r="691" spans="5:5" ht="16" x14ac:dyDescent="0.2">
      <c r="E691" s="10"/>
    </row>
    <row r="692" spans="5:5" ht="16" x14ac:dyDescent="0.2">
      <c r="E692" s="10"/>
    </row>
    <row r="693" spans="5:5" ht="16" x14ac:dyDescent="0.2">
      <c r="E693" s="10"/>
    </row>
    <row r="694" spans="5:5" ht="16" x14ac:dyDescent="0.2">
      <c r="E694" s="10"/>
    </row>
    <row r="695" spans="5:5" ht="16" x14ac:dyDescent="0.2">
      <c r="E695" s="10"/>
    </row>
    <row r="696" spans="5:5" ht="16" x14ac:dyDescent="0.2">
      <c r="E696" s="10"/>
    </row>
    <row r="697" spans="5:5" ht="16" x14ac:dyDescent="0.2">
      <c r="E697" s="10"/>
    </row>
    <row r="698" spans="5:5" ht="16" x14ac:dyDescent="0.2">
      <c r="E698" s="10"/>
    </row>
    <row r="699" spans="5:5" ht="16" x14ac:dyDescent="0.2">
      <c r="E699" s="10"/>
    </row>
    <row r="700" spans="5:5" ht="16" x14ac:dyDescent="0.2">
      <c r="E700" s="10"/>
    </row>
    <row r="701" spans="5:5" ht="16" x14ac:dyDescent="0.2">
      <c r="E701" s="10"/>
    </row>
    <row r="702" spans="5:5" ht="16" x14ac:dyDescent="0.2">
      <c r="E702" s="10"/>
    </row>
    <row r="703" spans="5:5" ht="16" x14ac:dyDescent="0.2">
      <c r="E703" s="10"/>
    </row>
    <row r="704" spans="5:5" ht="16" x14ac:dyDescent="0.2">
      <c r="E704" s="10"/>
    </row>
    <row r="705" spans="5:5" ht="16" x14ac:dyDescent="0.2">
      <c r="E705" s="10"/>
    </row>
    <row r="706" spans="5:5" ht="16" x14ac:dyDescent="0.2">
      <c r="E706" s="10"/>
    </row>
    <row r="707" spans="5:5" ht="16" x14ac:dyDescent="0.2">
      <c r="E707" s="10"/>
    </row>
    <row r="708" spans="5:5" ht="16" x14ac:dyDescent="0.2">
      <c r="E708" s="10"/>
    </row>
    <row r="709" spans="5:5" ht="16" x14ac:dyDescent="0.2">
      <c r="E709" s="10"/>
    </row>
    <row r="710" spans="5:5" ht="16" x14ac:dyDescent="0.2">
      <c r="E710" s="10"/>
    </row>
    <row r="711" spans="5:5" ht="16" x14ac:dyDescent="0.2">
      <c r="E711" s="10"/>
    </row>
    <row r="712" spans="5:5" ht="16" x14ac:dyDescent="0.2">
      <c r="E712" s="10"/>
    </row>
    <row r="713" spans="5:5" ht="16" x14ac:dyDescent="0.2">
      <c r="E713" s="10"/>
    </row>
    <row r="714" spans="5:5" ht="16" x14ac:dyDescent="0.2">
      <c r="E714" s="10"/>
    </row>
    <row r="715" spans="5:5" ht="16" x14ac:dyDescent="0.2">
      <c r="E715" s="10"/>
    </row>
    <row r="716" spans="5:5" ht="16" x14ac:dyDescent="0.2">
      <c r="E716" s="10"/>
    </row>
    <row r="717" spans="5:5" ht="16" x14ac:dyDescent="0.2">
      <c r="E717" s="10"/>
    </row>
    <row r="718" spans="5:5" ht="16" x14ac:dyDescent="0.2">
      <c r="E718" s="10"/>
    </row>
    <row r="719" spans="5:5" ht="16" x14ac:dyDescent="0.2">
      <c r="E719" s="10"/>
    </row>
    <row r="720" spans="5:5" ht="16" x14ac:dyDescent="0.2">
      <c r="E720" s="10"/>
    </row>
    <row r="721" spans="5:5" ht="16" x14ac:dyDescent="0.2">
      <c r="E721" s="10"/>
    </row>
    <row r="722" spans="5:5" ht="16" x14ac:dyDescent="0.2">
      <c r="E722" s="10"/>
    </row>
    <row r="723" spans="5:5" ht="16" x14ac:dyDescent="0.2">
      <c r="E723" s="10"/>
    </row>
    <row r="724" spans="5:5" ht="16" x14ac:dyDescent="0.2">
      <c r="E724" s="10"/>
    </row>
    <row r="725" spans="5:5" ht="16" x14ac:dyDescent="0.2">
      <c r="E725" s="10"/>
    </row>
    <row r="726" spans="5:5" ht="16" x14ac:dyDescent="0.2">
      <c r="E726" s="10"/>
    </row>
    <row r="727" spans="5:5" ht="16" x14ac:dyDescent="0.2">
      <c r="E727" s="10"/>
    </row>
    <row r="728" spans="5:5" ht="16" x14ac:dyDescent="0.2">
      <c r="E728" s="10"/>
    </row>
    <row r="729" spans="5:5" ht="16" x14ac:dyDescent="0.2">
      <c r="E729" s="10"/>
    </row>
    <row r="730" spans="5:5" ht="16" x14ac:dyDescent="0.2">
      <c r="E730" s="10"/>
    </row>
    <row r="731" spans="5:5" ht="16" x14ac:dyDescent="0.2">
      <c r="E731" s="10"/>
    </row>
    <row r="732" spans="5:5" ht="16" x14ac:dyDescent="0.2">
      <c r="E732" s="10"/>
    </row>
    <row r="733" spans="5:5" ht="16" x14ac:dyDescent="0.2">
      <c r="E733" s="10"/>
    </row>
    <row r="734" spans="5:5" ht="16" x14ac:dyDescent="0.2">
      <c r="E734" s="10"/>
    </row>
    <row r="735" spans="5:5" ht="16" x14ac:dyDescent="0.2">
      <c r="E735" s="10"/>
    </row>
    <row r="736" spans="5:5" ht="16" x14ac:dyDescent="0.2">
      <c r="E736" s="10"/>
    </row>
    <row r="737" spans="5:5" ht="16" x14ac:dyDescent="0.2">
      <c r="E737" s="10"/>
    </row>
    <row r="738" spans="5:5" ht="16" x14ac:dyDescent="0.2">
      <c r="E738" s="10"/>
    </row>
    <row r="739" spans="5:5" ht="16" x14ac:dyDescent="0.2">
      <c r="E739" s="10"/>
    </row>
    <row r="740" spans="5:5" ht="16" x14ac:dyDescent="0.2">
      <c r="E740" s="10"/>
    </row>
    <row r="741" spans="5:5" ht="16" x14ac:dyDescent="0.2">
      <c r="E741" s="10"/>
    </row>
    <row r="742" spans="5:5" ht="16" x14ac:dyDescent="0.2">
      <c r="E742" s="10"/>
    </row>
    <row r="743" spans="5:5" ht="16" x14ac:dyDescent="0.2">
      <c r="E743" s="10"/>
    </row>
    <row r="744" spans="5:5" ht="16" x14ac:dyDescent="0.2">
      <c r="E744" s="10"/>
    </row>
    <row r="745" spans="5:5" ht="16" x14ac:dyDescent="0.2">
      <c r="E745" s="10"/>
    </row>
    <row r="746" spans="5:5" ht="16" x14ac:dyDescent="0.2">
      <c r="E746" s="10"/>
    </row>
    <row r="747" spans="5:5" ht="16" x14ac:dyDescent="0.2">
      <c r="E747" s="10"/>
    </row>
    <row r="748" spans="5:5" ht="16" x14ac:dyDescent="0.2">
      <c r="E748" s="10"/>
    </row>
    <row r="749" spans="5:5" ht="16" x14ac:dyDescent="0.2">
      <c r="E749" s="10"/>
    </row>
    <row r="750" spans="5:5" ht="16" x14ac:dyDescent="0.2">
      <c r="E750" s="10"/>
    </row>
    <row r="751" spans="5:5" ht="16" x14ac:dyDescent="0.2">
      <c r="E751" s="10"/>
    </row>
    <row r="752" spans="5:5" ht="16" x14ac:dyDescent="0.2">
      <c r="E752" s="10"/>
    </row>
    <row r="753" spans="5:5" ht="16" x14ac:dyDescent="0.2">
      <c r="E753" s="10"/>
    </row>
    <row r="754" spans="5:5" ht="16" x14ac:dyDescent="0.2">
      <c r="E754" s="10"/>
    </row>
    <row r="755" spans="5:5" ht="16" x14ac:dyDescent="0.2">
      <c r="E755" s="10"/>
    </row>
    <row r="756" spans="5:5" ht="16" x14ac:dyDescent="0.2">
      <c r="E756" s="10"/>
    </row>
    <row r="757" spans="5:5" ht="16" x14ac:dyDescent="0.2">
      <c r="E757" s="10"/>
    </row>
    <row r="758" spans="5:5" ht="16" x14ac:dyDescent="0.2">
      <c r="E758" s="10"/>
    </row>
    <row r="759" spans="5:5" ht="16" x14ac:dyDescent="0.2">
      <c r="E759" s="10"/>
    </row>
    <row r="760" spans="5:5" ht="16" x14ac:dyDescent="0.2">
      <c r="E760" s="10"/>
    </row>
    <row r="761" spans="5:5" ht="16" x14ac:dyDescent="0.2">
      <c r="E761" s="10"/>
    </row>
    <row r="762" spans="5:5" ht="16" x14ac:dyDescent="0.2">
      <c r="E762" s="10"/>
    </row>
    <row r="763" spans="5:5" ht="16" x14ac:dyDescent="0.2">
      <c r="E763" s="10"/>
    </row>
    <row r="764" spans="5:5" ht="16" x14ac:dyDescent="0.2">
      <c r="E764" s="10"/>
    </row>
    <row r="765" spans="5:5" ht="16" x14ac:dyDescent="0.2">
      <c r="E765" s="10"/>
    </row>
    <row r="766" spans="5:5" ht="16" x14ac:dyDescent="0.2">
      <c r="E766" s="10"/>
    </row>
    <row r="767" spans="5:5" ht="16" x14ac:dyDescent="0.2">
      <c r="E767" s="10"/>
    </row>
    <row r="768" spans="5:5" ht="16" x14ac:dyDescent="0.2">
      <c r="E768" s="10"/>
    </row>
    <row r="769" spans="5:5" ht="16" x14ac:dyDescent="0.2">
      <c r="E769" s="10"/>
    </row>
    <row r="770" spans="5:5" ht="16" x14ac:dyDescent="0.2">
      <c r="E770" s="10"/>
    </row>
    <row r="771" spans="5:5" ht="16" x14ac:dyDescent="0.2">
      <c r="E771" s="10"/>
    </row>
    <row r="772" spans="5:5" ht="16" x14ac:dyDescent="0.2">
      <c r="E772" s="10"/>
    </row>
    <row r="773" spans="5:5" ht="16" x14ac:dyDescent="0.2">
      <c r="E773" s="10"/>
    </row>
    <row r="774" spans="5:5" ht="16" x14ac:dyDescent="0.2">
      <c r="E774" s="10"/>
    </row>
    <row r="775" spans="5:5" ht="16" x14ac:dyDescent="0.2">
      <c r="E775" s="10"/>
    </row>
    <row r="776" spans="5:5" ht="16" x14ac:dyDescent="0.2">
      <c r="E776" s="10"/>
    </row>
    <row r="777" spans="5:5" ht="16" x14ac:dyDescent="0.2">
      <c r="E777" s="10"/>
    </row>
    <row r="778" spans="5:5" ht="16" x14ac:dyDescent="0.2">
      <c r="E778" s="10"/>
    </row>
    <row r="779" spans="5:5" ht="16" x14ac:dyDescent="0.2">
      <c r="E779" s="10"/>
    </row>
    <row r="780" spans="5:5" ht="16" x14ac:dyDescent="0.2">
      <c r="E780" s="10"/>
    </row>
    <row r="781" spans="5:5" ht="16" x14ac:dyDescent="0.2">
      <c r="E781" s="10"/>
    </row>
    <row r="782" spans="5:5" ht="16" x14ac:dyDescent="0.2">
      <c r="E782" s="10"/>
    </row>
    <row r="783" spans="5:5" ht="16" x14ac:dyDescent="0.2">
      <c r="E783" s="10"/>
    </row>
    <row r="784" spans="5:5" ht="16" x14ac:dyDescent="0.2">
      <c r="E784" s="10"/>
    </row>
    <row r="785" spans="5:5" ht="16" x14ac:dyDescent="0.2">
      <c r="E785" s="10"/>
    </row>
    <row r="786" spans="5:5" ht="16" x14ac:dyDescent="0.2">
      <c r="E786" s="10"/>
    </row>
    <row r="787" spans="5:5" ht="16" x14ac:dyDescent="0.2">
      <c r="E787" s="10"/>
    </row>
    <row r="788" spans="5:5" ht="16" x14ac:dyDescent="0.2">
      <c r="E788" s="10"/>
    </row>
    <row r="789" spans="5:5" ht="16" x14ac:dyDescent="0.2">
      <c r="E789" s="10"/>
    </row>
    <row r="790" spans="5:5" ht="16" x14ac:dyDescent="0.2">
      <c r="E790" s="10"/>
    </row>
    <row r="791" spans="5:5" ht="16" x14ac:dyDescent="0.2">
      <c r="E791" s="10"/>
    </row>
    <row r="792" spans="5:5" ht="16" x14ac:dyDescent="0.2">
      <c r="E792" s="10"/>
    </row>
    <row r="793" spans="5:5" ht="16" x14ac:dyDescent="0.2">
      <c r="E793" s="10"/>
    </row>
    <row r="794" spans="5:5" ht="16" x14ac:dyDescent="0.2">
      <c r="E794" s="10"/>
    </row>
    <row r="795" spans="5:5" ht="16" x14ac:dyDescent="0.2">
      <c r="E795" s="10"/>
    </row>
    <row r="796" spans="5:5" ht="16" x14ac:dyDescent="0.2">
      <c r="E796" s="10"/>
    </row>
    <row r="797" spans="5:5" ht="16" x14ac:dyDescent="0.2">
      <c r="E797" s="10"/>
    </row>
    <row r="798" spans="5:5" ht="16" x14ac:dyDescent="0.2">
      <c r="E798" s="10"/>
    </row>
    <row r="799" spans="5:5" ht="16" x14ac:dyDescent="0.2">
      <c r="E799" s="10"/>
    </row>
    <row r="800" spans="5:5" ht="16" x14ac:dyDescent="0.2">
      <c r="E800" s="10"/>
    </row>
    <row r="801" spans="5:5" ht="16" x14ac:dyDescent="0.2">
      <c r="E801" s="10"/>
    </row>
    <row r="802" spans="5:5" ht="16" x14ac:dyDescent="0.2">
      <c r="E802" s="10"/>
    </row>
    <row r="803" spans="5:5" ht="16" x14ac:dyDescent="0.2">
      <c r="E803" s="10"/>
    </row>
    <row r="804" spans="5:5" ht="16" x14ac:dyDescent="0.2">
      <c r="E804" s="10"/>
    </row>
    <row r="805" spans="5:5" ht="16" x14ac:dyDescent="0.2">
      <c r="E805" s="10"/>
    </row>
    <row r="806" spans="5:5" ht="16" x14ac:dyDescent="0.2">
      <c r="E806" s="10"/>
    </row>
    <row r="807" spans="5:5" ht="16" x14ac:dyDescent="0.2">
      <c r="E807" s="10"/>
    </row>
    <row r="808" spans="5:5" ht="16" x14ac:dyDescent="0.2">
      <c r="E808" s="10"/>
    </row>
    <row r="809" spans="5:5" ht="16" x14ac:dyDescent="0.2">
      <c r="E809" s="10"/>
    </row>
    <row r="810" spans="5:5" ht="16" x14ac:dyDescent="0.2">
      <c r="E810" s="10"/>
    </row>
    <row r="811" spans="5:5" ht="16" x14ac:dyDescent="0.2">
      <c r="E811" s="10"/>
    </row>
    <row r="812" spans="5:5" ht="16" x14ac:dyDescent="0.2">
      <c r="E812" s="10"/>
    </row>
    <row r="813" spans="5:5" ht="16" x14ac:dyDescent="0.2">
      <c r="E813" s="10"/>
    </row>
    <row r="814" spans="5:5" ht="16" x14ac:dyDescent="0.2">
      <c r="E814" s="10"/>
    </row>
    <row r="815" spans="5:5" ht="16" x14ac:dyDescent="0.2">
      <c r="E815" s="10"/>
    </row>
    <row r="816" spans="5:5" ht="16" x14ac:dyDescent="0.2">
      <c r="E816" s="10"/>
    </row>
    <row r="817" spans="5:5" ht="16" x14ac:dyDescent="0.2">
      <c r="E817" s="10"/>
    </row>
    <row r="818" spans="5:5" ht="16" x14ac:dyDescent="0.2">
      <c r="E818" s="10"/>
    </row>
    <row r="819" spans="5:5" ht="16" x14ac:dyDescent="0.2">
      <c r="E819" s="10"/>
    </row>
    <row r="820" spans="5:5" ht="16" x14ac:dyDescent="0.2">
      <c r="E820" s="10"/>
    </row>
    <row r="821" spans="5:5" ht="16" x14ac:dyDescent="0.2">
      <c r="E821" s="10"/>
    </row>
    <row r="822" spans="5:5" ht="16" x14ac:dyDescent="0.2">
      <c r="E822" s="10"/>
    </row>
    <row r="823" spans="5:5" ht="16" x14ac:dyDescent="0.2">
      <c r="E823" s="10"/>
    </row>
    <row r="824" spans="5:5" ht="16" x14ac:dyDescent="0.2">
      <c r="E824" s="10"/>
    </row>
    <row r="825" spans="5:5" ht="16" x14ac:dyDescent="0.2">
      <c r="E825" s="10"/>
    </row>
    <row r="826" spans="5:5" ht="16" x14ac:dyDescent="0.2">
      <c r="E826" s="10"/>
    </row>
    <row r="827" spans="5:5" ht="16" x14ac:dyDescent="0.2">
      <c r="E827" s="10"/>
    </row>
    <row r="828" spans="5:5" ht="16" x14ac:dyDescent="0.2">
      <c r="E828" s="10"/>
    </row>
    <row r="829" spans="5:5" ht="16" x14ac:dyDescent="0.2">
      <c r="E829" s="10"/>
    </row>
    <row r="830" spans="5:5" ht="16" x14ac:dyDescent="0.2">
      <c r="E830" s="10"/>
    </row>
    <row r="831" spans="5:5" ht="16" x14ac:dyDescent="0.2">
      <c r="E831" s="10"/>
    </row>
    <row r="832" spans="5:5" ht="16" x14ac:dyDescent="0.2">
      <c r="E832" s="10"/>
    </row>
    <row r="833" spans="5:5" ht="16" x14ac:dyDescent="0.2">
      <c r="E833" s="10"/>
    </row>
    <row r="834" spans="5:5" ht="16" x14ac:dyDescent="0.2">
      <c r="E834" s="10"/>
    </row>
    <row r="835" spans="5:5" ht="16" x14ac:dyDescent="0.2">
      <c r="E835" s="10"/>
    </row>
    <row r="836" spans="5:5" ht="16" x14ac:dyDescent="0.2">
      <c r="E836" s="10"/>
    </row>
    <row r="837" spans="5:5" ht="16" x14ac:dyDescent="0.2">
      <c r="E837" s="10"/>
    </row>
    <row r="838" spans="5:5" ht="16" x14ac:dyDescent="0.2">
      <c r="E838" s="10"/>
    </row>
    <row r="839" spans="5:5" ht="16" x14ac:dyDescent="0.2">
      <c r="E839" s="10"/>
    </row>
    <row r="840" spans="5:5" ht="16" x14ac:dyDescent="0.2">
      <c r="E840" s="10"/>
    </row>
    <row r="841" spans="5:5" ht="16" x14ac:dyDescent="0.2">
      <c r="E841" s="10"/>
    </row>
    <row r="842" spans="5:5" ht="16" x14ac:dyDescent="0.2">
      <c r="E842" s="10"/>
    </row>
    <row r="843" spans="5:5" ht="16" x14ac:dyDescent="0.2">
      <c r="E843" s="10"/>
    </row>
    <row r="844" spans="5:5" ht="16" x14ac:dyDescent="0.2">
      <c r="E844" s="10"/>
    </row>
    <row r="845" spans="5:5" ht="16" x14ac:dyDescent="0.2">
      <c r="E845" s="10"/>
    </row>
    <row r="846" spans="5:5" ht="16" x14ac:dyDescent="0.2">
      <c r="E846" s="10"/>
    </row>
    <row r="847" spans="5:5" ht="16" x14ac:dyDescent="0.2">
      <c r="E847" s="10"/>
    </row>
    <row r="848" spans="5:5" ht="16" x14ac:dyDescent="0.2">
      <c r="E848" s="10"/>
    </row>
    <row r="849" spans="5:5" ht="16" x14ac:dyDescent="0.2">
      <c r="E849" s="10"/>
    </row>
    <row r="850" spans="5:5" ht="16" x14ac:dyDescent="0.2">
      <c r="E850" s="10"/>
    </row>
    <row r="851" spans="5:5" ht="16" x14ac:dyDescent="0.2">
      <c r="E851" s="10"/>
    </row>
    <row r="852" spans="5:5" ht="16" x14ac:dyDescent="0.2">
      <c r="E852" s="10"/>
    </row>
    <row r="853" spans="5:5" ht="16" x14ac:dyDescent="0.2">
      <c r="E853" s="10"/>
    </row>
    <row r="854" spans="5:5" ht="16" x14ac:dyDescent="0.2">
      <c r="E854" s="10"/>
    </row>
    <row r="855" spans="5:5" ht="16" x14ac:dyDescent="0.2">
      <c r="E855" s="10"/>
    </row>
    <row r="856" spans="5:5" ht="16" x14ac:dyDescent="0.2">
      <c r="E856" s="10"/>
    </row>
    <row r="857" spans="5:5" ht="16" x14ac:dyDescent="0.2">
      <c r="E857" s="10"/>
    </row>
    <row r="858" spans="5:5" ht="16" x14ac:dyDescent="0.2">
      <c r="E858" s="10"/>
    </row>
    <row r="859" spans="5:5" ht="16" x14ac:dyDescent="0.2">
      <c r="E859" s="10"/>
    </row>
    <row r="860" spans="5:5" ht="16" x14ac:dyDescent="0.2">
      <c r="E860" s="10"/>
    </row>
    <row r="861" spans="5:5" ht="16" x14ac:dyDescent="0.2">
      <c r="E861" s="10"/>
    </row>
    <row r="862" spans="5:5" ht="16" x14ac:dyDescent="0.2">
      <c r="E862" s="10"/>
    </row>
    <row r="863" spans="5:5" ht="16" x14ac:dyDescent="0.2">
      <c r="E863" s="10"/>
    </row>
    <row r="864" spans="5:5" ht="16" x14ac:dyDescent="0.2">
      <c r="E864" s="10"/>
    </row>
    <row r="865" spans="5:5" ht="16" x14ac:dyDescent="0.2">
      <c r="E865" s="10"/>
    </row>
    <row r="866" spans="5:5" ht="16" x14ac:dyDescent="0.2">
      <c r="E866" s="10"/>
    </row>
    <row r="867" spans="5:5" ht="16" x14ac:dyDescent="0.2">
      <c r="E867" s="10"/>
    </row>
    <row r="868" spans="5:5" ht="16" x14ac:dyDescent="0.2">
      <c r="E868" s="10"/>
    </row>
    <row r="869" spans="5:5" ht="16" x14ac:dyDescent="0.2">
      <c r="E869" s="10"/>
    </row>
    <row r="870" spans="5:5" ht="16" x14ac:dyDescent="0.2">
      <c r="E870" s="10"/>
    </row>
    <row r="871" spans="5:5" ht="16" x14ac:dyDescent="0.2">
      <c r="E871" s="10"/>
    </row>
    <row r="872" spans="5:5" ht="16" x14ac:dyDescent="0.2">
      <c r="E872" s="10"/>
    </row>
    <row r="873" spans="5:5" ht="16" x14ac:dyDescent="0.2">
      <c r="E873" s="10"/>
    </row>
    <row r="874" spans="5:5" ht="16" x14ac:dyDescent="0.2">
      <c r="E874" s="10"/>
    </row>
    <row r="875" spans="5:5" ht="16" x14ac:dyDescent="0.2">
      <c r="E875" s="10"/>
    </row>
    <row r="876" spans="5:5" ht="16" x14ac:dyDescent="0.2">
      <c r="E876" s="10"/>
    </row>
    <row r="877" spans="5:5" ht="16" x14ac:dyDescent="0.2">
      <c r="E877" s="10"/>
    </row>
    <row r="878" spans="5:5" ht="16" x14ac:dyDescent="0.2">
      <c r="E878" s="10"/>
    </row>
    <row r="879" spans="5:5" ht="16" x14ac:dyDescent="0.2">
      <c r="E879" s="10"/>
    </row>
    <row r="880" spans="5:5" ht="16" x14ac:dyDescent="0.2">
      <c r="E880" s="10"/>
    </row>
    <row r="881" spans="5:5" ht="16" x14ac:dyDescent="0.2">
      <c r="E881" s="10"/>
    </row>
    <row r="882" spans="5:5" ht="16" x14ac:dyDescent="0.2">
      <c r="E882" s="10"/>
    </row>
    <row r="883" spans="5:5" ht="16" x14ac:dyDescent="0.2">
      <c r="E883" s="10"/>
    </row>
    <row r="884" spans="5:5" ht="16" x14ac:dyDescent="0.2">
      <c r="E884" s="10"/>
    </row>
    <row r="885" spans="5:5" ht="16" x14ac:dyDescent="0.2">
      <c r="E885" s="10"/>
    </row>
    <row r="886" spans="5:5" ht="16" x14ac:dyDescent="0.2">
      <c r="E886" s="10"/>
    </row>
    <row r="887" spans="5:5" ht="16" x14ac:dyDescent="0.2">
      <c r="E887" s="10"/>
    </row>
    <row r="888" spans="5:5" ht="16" x14ac:dyDescent="0.2">
      <c r="E888" s="10"/>
    </row>
    <row r="889" spans="5:5" ht="16" x14ac:dyDescent="0.2">
      <c r="E889" s="10"/>
    </row>
    <row r="890" spans="5:5" ht="16" x14ac:dyDescent="0.2">
      <c r="E890" s="10"/>
    </row>
    <row r="891" spans="5:5" ht="16" x14ac:dyDescent="0.2">
      <c r="E891" s="10"/>
    </row>
    <row r="892" spans="5:5" ht="16" x14ac:dyDescent="0.2">
      <c r="E892" s="10"/>
    </row>
    <row r="893" spans="5:5" ht="16" x14ac:dyDescent="0.2">
      <c r="E893" s="10"/>
    </row>
    <row r="894" spans="5:5" ht="16" x14ac:dyDescent="0.2">
      <c r="E894" s="10"/>
    </row>
    <row r="895" spans="5:5" ht="16" x14ac:dyDescent="0.2">
      <c r="E895" s="10"/>
    </row>
    <row r="896" spans="5:5" ht="16" x14ac:dyDescent="0.2">
      <c r="E896" s="10"/>
    </row>
    <row r="897" spans="5:5" ht="16" x14ac:dyDescent="0.2">
      <c r="E897" s="10"/>
    </row>
    <row r="898" spans="5:5" ht="16" x14ac:dyDescent="0.2">
      <c r="E898" s="10"/>
    </row>
    <row r="899" spans="5:5" ht="16" x14ac:dyDescent="0.2">
      <c r="E899" s="10"/>
    </row>
    <row r="900" spans="5:5" ht="16" x14ac:dyDescent="0.2">
      <c r="E900" s="10"/>
    </row>
    <row r="901" spans="5:5" ht="16" x14ac:dyDescent="0.2">
      <c r="E901" s="10"/>
    </row>
    <row r="902" spans="5:5" ht="16" x14ac:dyDescent="0.2">
      <c r="E902" s="10"/>
    </row>
    <row r="903" spans="5:5" ht="16" x14ac:dyDescent="0.2">
      <c r="E903" s="10"/>
    </row>
    <row r="904" spans="5:5" ht="16" x14ac:dyDescent="0.2">
      <c r="E904" s="10"/>
    </row>
    <row r="905" spans="5:5" ht="16" x14ac:dyDescent="0.2">
      <c r="E905" s="10"/>
    </row>
    <row r="906" spans="5:5" ht="16" x14ac:dyDescent="0.2">
      <c r="E906" s="10"/>
    </row>
    <row r="907" spans="5:5" ht="16" x14ac:dyDescent="0.2">
      <c r="E907" s="10"/>
    </row>
    <row r="908" spans="5:5" ht="16" x14ac:dyDescent="0.2">
      <c r="E908" s="10"/>
    </row>
    <row r="909" spans="5:5" ht="16" x14ac:dyDescent="0.2">
      <c r="E909" s="10"/>
    </row>
    <row r="910" spans="5:5" ht="16" x14ac:dyDescent="0.2">
      <c r="E910" s="10"/>
    </row>
    <row r="911" spans="5:5" ht="16" x14ac:dyDescent="0.2">
      <c r="E911" s="10"/>
    </row>
    <row r="912" spans="5:5" ht="16" x14ac:dyDescent="0.2">
      <c r="E912" s="10"/>
    </row>
    <row r="913" spans="5:5" ht="16" x14ac:dyDescent="0.2">
      <c r="E913" s="10"/>
    </row>
    <row r="914" spans="5:5" ht="16" x14ac:dyDescent="0.2">
      <c r="E914" s="10"/>
    </row>
    <row r="915" spans="5:5" ht="16" x14ac:dyDescent="0.2">
      <c r="E915" s="10"/>
    </row>
    <row r="916" spans="5:5" ht="16" x14ac:dyDescent="0.2">
      <c r="E916" s="10"/>
    </row>
    <row r="917" spans="5:5" ht="16" x14ac:dyDescent="0.2">
      <c r="E917" s="10"/>
    </row>
    <row r="918" spans="5:5" ht="16" x14ac:dyDescent="0.2">
      <c r="E918" s="10"/>
    </row>
    <row r="919" spans="5:5" ht="16" x14ac:dyDescent="0.2">
      <c r="E919" s="10"/>
    </row>
    <row r="920" spans="5:5" ht="16" x14ac:dyDescent="0.2">
      <c r="E920" s="10"/>
    </row>
    <row r="921" spans="5:5" ht="16" x14ac:dyDescent="0.2">
      <c r="E921" s="10"/>
    </row>
    <row r="922" spans="5:5" ht="16" x14ac:dyDescent="0.2">
      <c r="E922" s="10"/>
    </row>
    <row r="923" spans="5:5" ht="16" x14ac:dyDescent="0.2">
      <c r="E923" s="10"/>
    </row>
    <row r="924" spans="5:5" ht="16" x14ac:dyDescent="0.2">
      <c r="E924" s="10"/>
    </row>
    <row r="925" spans="5:5" ht="16" x14ac:dyDescent="0.2">
      <c r="E925" s="10"/>
    </row>
    <row r="926" spans="5:5" ht="16" x14ac:dyDescent="0.2">
      <c r="E926" s="10"/>
    </row>
    <row r="927" spans="5:5" ht="16" x14ac:dyDescent="0.2">
      <c r="E927" s="10"/>
    </row>
    <row r="928" spans="5:5" ht="16" x14ac:dyDescent="0.2">
      <c r="E928" s="10"/>
    </row>
    <row r="929" spans="5:5" ht="16" x14ac:dyDescent="0.2">
      <c r="E929" s="10"/>
    </row>
    <row r="930" spans="5:5" ht="16" x14ac:dyDescent="0.2">
      <c r="E930" s="10"/>
    </row>
    <row r="931" spans="5:5" ht="16" x14ac:dyDescent="0.2">
      <c r="E931" s="10"/>
    </row>
    <row r="932" spans="5:5" ht="16" x14ac:dyDescent="0.2">
      <c r="E932" s="10"/>
    </row>
    <row r="933" spans="5:5" ht="16" x14ac:dyDescent="0.2">
      <c r="E933" s="10"/>
    </row>
    <row r="934" spans="5:5" ht="16" x14ac:dyDescent="0.2">
      <c r="E934" s="10"/>
    </row>
    <row r="935" spans="5:5" ht="16" x14ac:dyDescent="0.2">
      <c r="E935" s="10"/>
    </row>
    <row r="936" spans="5:5" ht="16" x14ac:dyDescent="0.2">
      <c r="E936" s="10"/>
    </row>
    <row r="937" spans="5:5" ht="16" x14ac:dyDescent="0.2">
      <c r="E937" s="10"/>
    </row>
    <row r="938" spans="5:5" ht="16" x14ac:dyDescent="0.2">
      <c r="E938" s="10"/>
    </row>
    <row r="939" spans="5:5" ht="16" x14ac:dyDescent="0.2">
      <c r="E939" s="10"/>
    </row>
    <row r="940" spans="5:5" ht="16" x14ac:dyDescent="0.2">
      <c r="E940" s="10"/>
    </row>
    <row r="941" spans="5:5" ht="16" x14ac:dyDescent="0.2">
      <c r="E941" s="10"/>
    </row>
    <row r="942" spans="5:5" ht="16" x14ac:dyDescent="0.2">
      <c r="E942" s="10"/>
    </row>
    <row r="943" spans="5:5" ht="16" x14ac:dyDescent="0.2">
      <c r="E943" s="10"/>
    </row>
    <row r="944" spans="5:5" ht="16" x14ac:dyDescent="0.2">
      <c r="E944" s="10"/>
    </row>
    <row r="945" spans="5:5" ht="16" x14ac:dyDescent="0.2">
      <c r="E945" s="10"/>
    </row>
    <row r="946" spans="5:5" ht="16" x14ac:dyDescent="0.2">
      <c r="E946" s="10"/>
    </row>
    <row r="947" spans="5:5" ht="16" x14ac:dyDescent="0.2">
      <c r="E947" s="10"/>
    </row>
    <row r="948" spans="5:5" ht="16" x14ac:dyDescent="0.2">
      <c r="E948" s="10"/>
    </row>
    <row r="949" spans="5:5" ht="16" x14ac:dyDescent="0.2">
      <c r="E949" s="10"/>
    </row>
    <row r="950" spans="5:5" ht="16" x14ac:dyDescent="0.2">
      <c r="E950" s="10"/>
    </row>
    <row r="951" spans="5:5" ht="16" x14ac:dyDescent="0.2">
      <c r="E951" s="10"/>
    </row>
    <row r="952" spans="5:5" ht="16" x14ac:dyDescent="0.2">
      <c r="E952" s="10"/>
    </row>
    <row r="953" spans="5:5" ht="16" x14ac:dyDescent="0.2">
      <c r="E953" s="10"/>
    </row>
    <row r="954" spans="5:5" ht="16" x14ac:dyDescent="0.2">
      <c r="E954" s="10"/>
    </row>
    <row r="955" spans="5:5" ht="16" x14ac:dyDescent="0.2">
      <c r="E955" s="10"/>
    </row>
    <row r="956" spans="5:5" ht="16" x14ac:dyDescent="0.2">
      <c r="E956" s="10"/>
    </row>
    <row r="957" spans="5:5" ht="16" x14ac:dyDescent="0.2">
      <c r="E957" s="10"/>
    </row>
    <row r="958" spans="5:5" ht="16" x14ac:dyDescent="0.2">
      <c r="E958" s="10"/>
    </row>
    <row r="959" spans="5:5" ht="16" x14ac:dyDescent="0.2">
      <c r="E959" s="10"/>
    </row>
    <row r="960" spans="5:5" ht="16" x14ac:dyDescent="0.2">
      <c r="E960" s="10"/>
    </row>
    <row r="961" spans="5:5" ht="16" x14ac:dyDescent="0.2">
      <c r="E961" s="10"/>
    </row>
    <row r="962" spans="5:5" ht="16" x14ac:dyDescent="0.2">
      <c r="E962" s="10"/>
    </row>
    <row r="963" spans="5:5" ht="16" x14ac:dyDescent="0.2">
      <c r="E963" s="10"/>
    </row>
    <row r="964" spans="5:5" ht="16" x14ac:dyDescent="0.2">
      <c r="E964" s="10"/>
    </row>
    <row r="965" spans="5:5" ht="16" x14ac:dyDescent="0.2">
      <c r="E965" s="10"/>
    </row>
    <row r="966" spans="5:5" ht="16" x14ac:dyDescent="0.2">
      <c r="E966" s="10"/>
    </row>
    <row r="967" spans="5:5" ht="16" x14ac:dyDescent="0.2">
      <c r="E967" s="10"/>
    </row>
    <row r="968" spans="5:5" ht="16" x14ac:dyDescent="0.2">
      <c r="E968" s="10"/>
    </row>
    <row r="969" spans="5:5" ht="16" x14ac:dyDescent="0.2">
      <c r="E969" s="10"/>
    </row>
    <row r="970" spans="5:5" ht="16" x14ac:dyDescent="0.2">
      <c r="E970" s="10"/>
    </row>
    <row r="971" spans="5:5" ht="16" x14ac:dyDescent="0.2">
      <c r="E971" s="10"/>
    </row>
    <row r="972" spans="5:5" ht="16" x14ac:dyDescent="0.2">
      <c r="E972" s="10"/>
    </row>
    <row r="973" spans="5:5" ht="16" x14ac:dyDescent="0.2">
      <c r="E973" s="10"/>
    </row>
    <row r="974" spans="5:5" ht="16" x14ac:dyDescent="0.2">
      <c r="E974" s="10"/>
    </row>
    <row r="975" spans="5:5" ht="16" x14ac:dyDescent="0.2">
      <c r="E975" s="10"/>
    </row>
    <row r="976" spans="5:5" ht="16" x14ac:dyDescent="0.2">
      <c r="E976" s="10"/>
    </row>
    <row r="977" spans="5:5" ht="16" x14ac:dyDescent="0.2">
      <c r="E977" s="10"/>
    </row>
    <row r="978" spans="5:5" ht="16" x14ac:dyDescent="0.2">
      <c r="E978" s="10"/>
    </row>
    <row r="979" spans="5:5" ht="16" x14ac:dyDescent="0.2">
      <c r="E979" s="10"/>
    </row>
    <row r="980" spans="5:5" ht="16" x14ac:dyDescent="0.2">
      <c r="E980" s="10"/>
    </row>
    <row r="981" spans="5:5" ht="16" x14ac:dyDescent="0.2">
      <c r="E981" s="10"/>
    </row>
    <row r="982" spans="5:5" ht="16" x14ac:dyDescent="0.2">
      <c r="E982" s="10"/>
    </row>
    <row r="983" spans="5:5" ht="16" x14ac:dyDescent="0.2">
      <c r="E983" s="10"/>
    </row>
    <row r="984" spans="5:5" ht="16" x14ac:dyDescent="0.2">
      <c r="E984" s="10"/>
    </row>
    <row r="985" spans="5:5" ht="16" x14ac:dyDescent="0.2">
      <c r="E985" s="10"/>
    </row>
    <row r="986" spans="5:5" ht="16" x14ac:dyDescent="0.2">
      <c r="E986" s="10"/>
    </row>
    <row r="987" spans="5:5" ht="16" x14ac:dyDescent="0.2">
      <c r="E987" s="10"/>
    </row>
    <row r="988" spans="5:5" ht="16" x14ac:dyDescent="0.2">
      <c r="E988" s="10"/>
    </row>
    <row r="989" spans="5:5" ht="16" x14ac:dyDescent="0.2">
      <c r="E989" s="10"/>
    </row>
    <row r="990" spans="5:5" ht="16" x14ac:dyDescent="0.2">
      <c r="E990" s="10"/>
    </row>
    <row r="991" spans="5:5" ht="16" x14ac:dyDescent="0.2">
      <c r="E991" s="10"/>
    </row>
    <row r="992" spans="5:5" ht="16" x14ac:dyDescent="0.2">
      <c r="E992" s="10"/>
    </row>
    <row r="993" spans="5:5" ht="16" x14ac:dyDescent="0.2">
      <c r="E993" s="10"/>
    </row>
    <row r="994" spans="5:5" ht="16" x14ac:dyDescent="0.2">
      <c r="E994" s="10"/>
    </row>
    <row r="995" spans="5:5" ht="16" x14ac:dyDescent="0.2">
      <c r="E995" s="10"/>
    </row>
    <row r="996" spans="5:5" ht="16" x14ac:dyDescent="0.2">
      <c r="E996" s="10"/>
    </row>
    <row r="997" spans="5:5" ht="16" x14ac:dyDescent="0.2">
      <c r="E997" s="10"/>
    </row>
    <row r="998" spans="5:5" ht="16" x14ac:dyDescent="0.2">
      <c r="E998" s="10"/>
    </row>
    <row r="999" spans="5:5" ht="16" x14ac:dyDescent="0.2">
      <c r="E999" s="10"/>
    </row>
    <row r="1000" spans="5:5" ht="16" x14ac:dyDescent="0.2">
      <c r="E1000" s="1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72C72-A6BE-4211-A431-C83EFFD3326B}">
  <sheetPr codeName="Feuil10"/>
  <dimension ref="A1:F102"/>
  <sheetViews>
    <sheetView topLeftCell="A70" workbookViewId="0">
      <selection activeCell="E4" sqref="E4:E102"/>
    </sheetView>
  </sheetViews>
  <sheetFormatPr baseColWidth="10" defaultColWidth="11.5" defaultRowHeight="15" x14ac:dyDescent="0.2"/>
  <cols>
    <col min="1" max="1" width="55.1640625" style="4" bestFit="1" customWidth="1"/>
    <col min="2" max="2" width="11.1640625" style="4" bestFit="1" customWidth="1"/>
    <col min="3" max="3" width="10.6640625" style="4" bestFit="1" customWidth="1"/>
    <col min="4" max="4" width="5.5" style="4" bestFit="1" customWidth="1"/>
    <col min="5" max="5" width="7.6640625" style="4" bestFit="1" customWidth="1"/>
  </cols>
  <sheetData>
    <row r="1" spans="1:6" x14ac:dyDescent="0.2">
      <c r="A1" s="168" t="s">
        <v>154</v>
      </c>
      <c r="B1" s="168"/>
      <c r="C1" s="168"/>
      <c r="D1" s="168"/>
      <c r="E1" s="168"/>
      <c r="F1" s="168"/>
    </row>
    <row r="2" spans="1:6" x14ac:dyDescent="0.2">
      <c r="A2"/>
      <c r="B2"/>
      <c r="C2"/>
      <c r="D2"/>
      <c r="E2"/>
    </row>
    <row r="3" spans="1:6" x14ac:dyDescent="0.2">
      <c r="A3" s="8" t="s">
        <v>155</v>
      </c>
      <c r="B3" s="8" t="s">
        <v>156</v>
      </c>
      <c r="C3" s="8" t="s">
        <v>157</v>
      </c>
      <c r="D3" s="8" t="s">
        <v>97</v>
      </c>
      <c r="E3" s="8" t="s">
        <v>142</v>
      </c>
      <c r="F3" s="7"/>
    </row>
    <row r="4" spans="1:6" x14ac:dyDescent="0.2">
      <c r="A4" s="4" t="s">
        <v>51</v>
      </c>
      <c r="B4" s="4" t="s">
        <v>71</v>
      </c>
      <c r="C4" s="2" t="s">
        <v>5</v>
      </c>
      <c r="D4" s="4">
        <v>5</v>
      </c>
      <c r="E4" s="4">
        <f>IFERROR(IFERROR(SUMIFS('Base de données'!$G:$G, 'Base de données'!A:A, BD_etu_notes_S2_C1!C4, 'Base de données'!$C:$C, BD_etu_notes_S2_C1!A4), 0) / IFERROR(SUMIFS('Base de données'!$E:$E, 'Base de données'!A:A, BD_etu_notes_S2_C1!C4, 'Base de données'!$C:$C, BD_etu_notes_S2_C1!A4), 0),0)</f>
        <v>13.5</v>
      </c>
    </row>
    <row r="5" spans="1:6" x14ac:dyDescent="0.2">
      <c r="A5" s="4" t="s">
        <v>51</v>
      </c>
      <c r="B5" s="4" t="s">
        <v>71</v>
      </c>
      <c r="C5" s="2" t="s">
        <v>9</v>
      </c>
      <c r="D5" s="4">
        <v>5</v>
      </c>
      <c r="E5" s="4">
        <f>IFERROR(IFERROR(SUMIFS('Base de données'!$G:$G, 'Base de données'!A:A, BD_etu_notes_S2_C1!C5, 'Base de données'!$C:$C, BD_etu_notes_S2_C1!A5), 0) / IFERROR(SUMIFS('Base de données'!$E:$E, 'Base de données'!A:A, BD_etu_notes_S2_C1!C5, 'Base de données'!$C:$C, BD_etu_notes_S2_C1!A5), 0),0)</f>
        <v>15</v>
      </c>
    </row>
    <row r="6" spans="1:6" x14ac:dyDescent="0.2">
      <c r="A6" s="4" t="s">
        <v>51</v>
      </c>
      <c r="B6" s="4" t="s">
        <v>71</v>
      </c>
      <c r="C6" s="2" t="s">
        <v>11</v>
      </c>
      <c r="D6" s="4">
        <v>5</v>
      </c>
      <c r="E6" s="4">
        <f>IFERROR(IFERROR(SUMIFS('Base de données'!$G:$G, 'Base de données'!A:A, BD_etu_notes_S2_C1!C6, 'Base de données'!$C:$C, BD_etu_notes_S2_C1!A6), 0) / IFERROR(SUMIFS('Base de données'!$E:$E, 'Base de données'!A:A, BD_etu_notes_S2_C1!C6, 'Base de données'!$C:$C, BD_etu_notes_S2_C1!A6), 0),0)</f>
        <v>12</v>
      </c>
    </row>
    <row r="7" spans="1:6" x14ac:dyDescent="0.2">
      <c r="A7" s="4" t="s">
        <v>51</v>
      </c>
      <c r="B7" s="4" t="s">
        <v>71</v>
      </c>
      <c r="C7" s="2" t="s">
        <v>14</v>
      </c>
      <c r="D7" s="4">
        <v>5</v>
      </c>
      <c r="E7" s="4">
        <f>IFERROR(IFERROR(SUMIFS('Base de données'!$G:$G, 'Base de données'!A:A, BD_etu_notes_S2_C1!C7, 'Base de données'!$C:$C, BD_etu_notes_S2_C1!A7), 0) / IFERROR(SUMIFS('Base de données'!$E:$E, 'Base de données'!A:A, BD_etu_notes_S2_C1!C7, 'Base de données'!$C:$C, BD_etu_notes_S2_C1!A7), 0),0)</f>
        <v>14.5</v>
      </c>
    </row>
    <row r="8" spans="1:6" x14ac:dyDescent="0.2">
      <c r="A8" s="4" t="s">
        <v>51</v>
      </c>
      <c r="B8" s="4" t="s">
        <v>71</v>
      </c>
      <c r="C8" s="2" t="s">
        <v>16</v>
      </c>
      <c r="D8" s="4">
        <v>5</v>
      </c>
      <c r="E8" s="4">
        <f>IFERROR(IFERROR(SUMIFS('Base de données'!$G:$G, 'Base de données'!A:A, BD_etu_notes_S2_C1!C8, 'Base de données'!$C:$C, BD_etu_notes_S2_C1!A8), 0) / IFERROR(SUMIFS('Base de données'!$E:$E, 'Base de données'!A:A, BD_etu_notes_S2_C1!C8, 'Base de données'!$C:$C, BD_etu_notes_S2_C1!A8), 0),0)</f>
        <v>12.5</v>
      </c>
    </row>
    <row r="9" spans="1:6" x14ac:dyDescent="0.2">
      <c r="A9" s="4" t="s">
        <v>51</v>
      </c>
      <c r="B9" s="4" t="s">
        <v>71</v>
      </c>
      <c r="C9" s="2" t="s">
        <v>19</v>
      </c>
      <c r="D9" s="4">
        <v>5</v>
      </c>
      <c r="E9" s="4">
        <f>IFERROR(IFERROR(SUMIFS('Base de données'!$G:$G, 'Base de données'!A:A, BD_etu_notes_S2_C1!C9, 'Base de données'!$C:$C, BD_etu_notes_S2_C1!A9), 0) / IFERROR(SUMIFS('Base de données'!$E:$E, 'Base de données'!A:A, BD_etu_notes_S2_C1!C9, 'Base de données'!$C:$C, BD_etu_notes_S2_C1!A9), 0),0)</f>
        <v>11.5</v>
      </c>
    </row>
    <row r="10" spans="1:6" x14ac:dyDescent="0.2">
      <c r="A10" s="4" t="s">
        <v>51</v>
      </c>
      <c r="B10" s="4" t="s">
        <v>71</v>
      </c>
      <c r="C10" s="2" t="s">
        <v>21</v>
      </c>
      <c r="D10" s="4">
        <v>5</v>
      </c>
      <c r="E10" s="4">
        <f>IFERROR(IFERROR(SUMIFS('Base de données'!$G:$G, 'Base de données'!A:A, BD_etu_notes_S2_C1!C10, 'Base de données'!$C:$C, BD_etu_notes_S2_C1!A10), 0) / IFERROR(SUMIFS('Base de données'!$E:$E, 'Base de données'!A:A, BD_etu_notes_S2_C1!C10, 'Base de données'!$C:$C, BD_etu_notes_S2_C1!A10), 0),0)</f>
        <v>16</v>
      </c>
    </row>
    <row r="11" spans="1:6" x14ac:dyDescent="0.2">
      <c r="A11" s="4" t="s">
        <v>51</v>
      </c>
      <c r="B11" s="4" t="s">
        <v>71</v>
      </c>
      <c r="C11" s="2" t="s">
        <v>24</v>
      </c>
      <c r="D11" s="4">
        <v>5</v>
      </c>
      <c r="E11" s="4">
        <f>IFERROR(IFERROR(SUMIFS('Base de données'!$G:$G, 'Base de données'!A:A, BD_etu_notes_S2_C1!C11, 'Base de données'!$C:$C, BD_etu_notes_S2_C1!A11), 0) / IFERROR(SUMIFS('Base de données'!$E:$E, 'Base de données'!A:A, BD_etu_notes_S2_C1!C11, 'Base de données'!$C:$C, BD_etu_notes_S2_C1!A11), 0),0)</f>
        <v>14</v>
      </c>
    </row>
    <row r="12" spans="1:6" x14ac:dyDescent="0.2">
      <c r="A12" s="4" t="s">
        <v>51</v>
      </c>
      <c r="B12" s="4" t="s">
        <v>71</v>
      </c>
      <c r="C12" s="2" t="s">
        <v>26</v>
      </c>
      <c r="D12" s="4">
        <v>5</v>
      </c>
      <c r="E12" s="4">
        <f>IFERROR(IFERROR(SUMIFS('Base de données'!$G:$G, 'Base de données'!A:A, BD_etu_notes_S2_C1!C12, 'Base de données'!$C:$C, BD_etu_notes_S2_C1!A12), 0) / IFERROR(SUMIFS('Base de données'!$E:$E, 'Base de données'!A:A, BD_etu_notes_S2_C1!C12, 'Base de données'!$C:$C, BD_etu_notes_S2_C1!A12), 0),0)</f>
        <v>10.5</v>
      </c>
    </row>
    <row r="13" spans="1:6" x14ac:dyDescent="0.2">
      <c r="A13" s="4" t="s">
        <v>51</v>
      </c>
      <c r="B13" s="4" t="s">
        <v>71</v>
      </c>
      <c r="C13" s="2" t="s">
        <v>29</v>
      </c>
      <c r="D13" s="4">
        <v>5</v>
      </c>
      <c r="E13" s="4">
        <f>IFERROR(IFERROR(SUMIFS('Base de données'!$G:$G, 'Base de données'!A:A, BD_etu_notes_S2_C1!C13, 'Base de données'!$C:$C, BD_etu_notes_S2_C1!A13), 0) / IFERROR(SUMIFS('Base de données'!$E:$E, 'Base de données'!A:A, BD_etu_notes_S2_C1!C13, 'Base de données'!$C:$C, BD_etu_notes_S2_C1!A13), 0),0)</f>
        <v>14</v>
      </c>
    </row>
    <row r="14" spans="1:6" x14ac:dyDescent="0.2">
      <c r="A14" s="4" t="str">
        <f>_xlfn.XLOOKUP(B14,'Semestre 2'!$D$3:$D$29,'Semestre 2'!$B$3:$B$29,"introuvable")</f>
        <v>Reporting et datavisualisation</v>
      </c>
      <c r="B14" s="4" t="s">
        <v>99</v>
      </c>
      <c r="C14" s="2" t="s">
        <v>5</v>
      </c>
      <c r="D14" s="4">
        <f>_xlfn.XLOOKUP(B14,'Semestre 2'!$D$3:$D$29,'Semestre 2'!$C$3:$C$29,"introuvable")</f>
        <v>10</v>
      </c>
      <c r="E14" s="4">
        <f>IFERROR(IFERROR(SUMIFS('Base de données'!$G:$G, 'Base de données'!A:A, BD_etu_notes_S2_C1!C14, 'Base de données'!$C:$C, BD_etu_notes_S2_C1!A14), 0) / IFERROR(SUMIFS('Base de données'!$E:$E, 'Base de données'!A:A, BD_etu_notes_S2_C1!C14, 'Base de données'!$C:$C, BD_etu_notes_S2_C1!A14), 0),0)</f>
        <v>8.5</v>
      </c>
    </row>
    <row r="15" spans="1:6" x14ac:dyDescent="0.2">
      <c r="A15" s="4" t="str">
        <f>_xlfn.XLOOKUP(B15,'Semestre 2'!$D$3:$D$29,'Semestre 2'!$B$3:$B$29,"introuvable")</f>
        <v>Reporting et datavisualisation</v>
      </c>
      <c r="B15" s="4" t="s">
        <v>99</v>
      </c>
      <c r="C15" s="2" t="s">
        <v>9</v>
      </c>
      <c r="D15" s="4">
        <f>_xlfn.XLOOKUP(B15,'Semestre 2'!$D$3:$D$29,'Semestre 2'!$C$3:$C$29,"introuvable")</f>
        <v>10</v>
      </c>
      <c r="E15" s="4">
        <f>IFERROR(IFERROR(SUMIFS('Base de données'!$G:$G, 'Base de données'!A:A, BD_etu_notes_S2_C1!C15, 'Base de données'!$C:$C, BD_etu_notes_S2_C1!A15), 0) / IFERROR(SUMIFS('Base de données'!$E:$E, 'Base de données'!A:A, BD_etu_notes_S2_C1!C15, 'Base de données'!$C:$C, BD_etu_notes_S2_C1!A15), 0),0)</f>
        <v>9</v>
      </c>
    </row>
    <row r="16" spans="1:6" x14ac:dyDescent="0.2">
      <c r="A16" s="4" t="str">
        <f>_xlfn.XLOOKUP(B16,'Semestre 2'!$D$3:$D$29,'Semestre 2'!$B$3:$B$29,"introuvable")</f>
        <v>Reporting et datavisualisation</v>
      </c>
      <c r="B16" s="4" t="s">
        <v>99</v>
      </c>
      <c r="C16" s="2" t="s">
        <v>11</v>
      </c>
      <c r="D16" s="4">
        <f>_xlfn.XLOOKUP(B16,'Semestre 2'!$D$3:$D$29,'Semestre 2'!$C$3:$C$29,"introuvable")</f>
        <v>10</v>
      </c>
      <c r="E16" s="4">
        <f>IFERROR(IFERROR(SUMIFS('Base de données'!$G:$G, 'Base de données'!A:A, BD_etu_notes_S2_C1!C16, 'Base de données'!$C:$C, BD_etu_notes_S2_C1!A16), 0) / IFERROR(SUMIFS('Base de données'!$E:$E, 'Base de données'!A:A, BD_etu_notes_S2_C1!C16, 'Base de données'!$C:$C, BD_etu_notes_S2_C1!A16), 0),0)</f>
        <v>10.5</v>
      </c>
    </row>
    <row r="17" spans="1:5" x14ac:dyDescent="0.2">
      <c r="A17" s="4" t="str">
        <f>_xlfn.XLOOKUP(B17,'Semestre 2'!$D$3:$D$29,'Semestre 2'!$B$3:$B$29,"introuvable")</f>
        <v>Reporting et datavisualisation</v>
      </c>
      <c r="B17" s="4" t="s">
        <v>99</v>
      </c>
      <c r="C17" s="2" t="s">
        <v>14</v>
      </c>
      <c r="D17" s="4">
        <f>_xlfn.XLOOKUP(B17,'Semestre 2'!$D$3:$D$29,'Semestre 2'!$C$3:$C$29,"introuvable")</f>
        <v>10</v>
      </c>
      <c r="E17" s="4">
        <f>IFERROR(IFERROR(SUMIFS('Base de données'!$G:$G, 'Base de données'!A:A, BD_etu_notes_S2_C1!C17, 'Base de données'!$C:$C, BD_etu_notes_S2_C1!A17), 0) / IFERROR(SUMIFS('Base de données'!$E:$E, 'Base de données'!A:A, BD_etu_notes_S2_C1!C17, 'Base de données'!$C:$C, BD_etu_notes_S2_C1!A17), 0),0)</f>
        <v>13</v>
      </c>
    </row>
    <row r="18" spans="1:5" x14ac:dyDescent="0.2">
      <c r="A18" s="4" t="str">
        <f>_xlfn.XLOOKUP(B18,'Semestre 2'!$D$3:$D$29,'Semestre 2'!$B$3:$B$29,"introuvable")</f>
        <v>Reporting et datavisualisation</v>
      </c>
      <c r="B18" s="4" t="s">
        <v>99</v>
      </c>
      <c r="C18" s="2" t="s">
        <v>16</v>
      </c>
      <c r="D18" s="4">
        <f>_xlfn.XLOOKUP(B18,'Semestre 2'!$D$3:$D$29,'Semestre 2'!$C$3:$C$29,"introuvable")</f>
        <v>10</v>
      </c>
      <c r="E18" s="4">
        <f>IFERROR(IFERROR(SUMIFS('Base de données'!$G:$G, 'Base de données'!A:A, BD_etu_notes_S2_C1!C18, 'Base de données'!$C:$C, BD_etu_notes_S2_C1!A18), 0) / IFERROR(SUMIFS('Base de données'!$E:$E, 'Base de données'!A:A, BD_etu_notes_S2_C1!C18, 'Base de données'!$C:$C, BD_etu_notes_S2_C1!A18), 0),0)</f>
        <v>16.5</v>
      </c>
    </row>
    <row r="19" spans="1:5" x14ac:dyDescent="0.2">
      <c r="A19" s="4" t="str">
        <f>_xlfn.XLOOKUP(B19,'Semestre 2'!$D$3:$D$29,'Semestre 2'!$B$3:$B$29,"introuvable")</f>
        <v>Reporting et datavisualisation</v>
      </c>
      <c r="B19" s="4" t="s">
        <v>99</v>
      </c>
      <c r="C19" s="2" t="s">
        <v>19</v>
      </c>
      <c r="D19" s="4">
        <f>_xlfn.XLOOKUP(B19,'Semestre 2'!$D$3:$D$29,'Semestre 2'!$C$3:$C$29,"introuvable")</f>
        <v>10</v>
      </c>
      <c r="E19" s="4">
        <f>IFERROR(IFERROR(SUMIFS('Base de données'!$G:$G, 'Base de données'!A:A, BD_etu_notes_S2_C1!C19, 'Base de données'!$C:$C, BD_etu_notes_S2_C1!A19), 0) / IFERROR(SUMIFS('Base de données'!$E:$E, 'Base de données'!A:A, BD_etu_notes_S2_C1!C19, 'Base de données'!$C:$C, BD_etu_notes_S2_C1!A19), 0),0)</f>
        <v>13.5</v>
      </c>
    </row>
    <row r="20" spans="1:5" x14ac:dyDescent="0.2">
      <c r="A20" s="4" t="str">
        <f>_xlfn.XLOOKUP(B20,'Semestre 2'!$D$3:$D$29,'Semestre 2'!$B$3:$B$29,"introuvable")</f>
        <v>Reporting et datavisualisation</v>
      </c>
      <c r="B20" s="4" t="s">
        <v>99</v>
      </c>
      <c r="C20" s="2" t="s">
        <v>21</v>
      </c>
      <c r="D20" s="4">
        <f>_xlfn.XLOOKUP(B20,'Semestre 2'!$D$3:$D$29,'Semestre 2'!$C$3:$C$29,"introuvable")</f>
        <v>10</v>
      </c>
      <c r="E20" s="4">
        <f>IFERROR(IFERROR(SUMIFS('Base de données'!$G:$G, 'Base de données'!A:A, BD_etu_notes_S2_C1!C20, 'Base de données'!$C:$C, BD_etu_notes_S2_C1!A20), 0) / IFERROR(SUMIFS('Base de données'!$E:$E, 'Base de données'!A:A, BD_etu_notes_S2_C1!C20, 'Base de données'!$C:$C, BD_etu_notes_S2_C1!A20), 0),0)</f>
        <v>12.5</v>
      </c>
    </row>
    <row r="21" spans="1:5" x14ac:dyDescent="0.2">
      <c r="A21" s="4" t="str">
        <f>_xlfn.XLOOKUP(B21,'Semestre 2'!$D$3:$D$29,'Semestre 2'!$B$3:$B$29,"introuvable")</f>
        <v>Reporting et datavisualisation</v>
      </c>
      <c r="B21" s="4" t="s">
        <v>99</v>
      </c>
      <c r="C21" s="2" t="s">
        <v>24</v>
      </c>
      <c r="D21" s="4">
        <f>_xlfn.XLOOKUP(B21,'Semestre 2'!$D$3:$D$29,'Semestre 2'!$C$3:$C$29,"introuvable")</f>
        <v>10</v>
      </c>
      <c r="E21" s="4">
        <f>IFERROR(IFERROR(SUMIFS('Base de données'!$G:$G, 'Base de données'!A:A, BD_etu_notes_S2_C1!C21, 'Base de données'!$C:$C, BD_etu_notes_S2_C1!A21), 0) / IFERROR(SUMIFS('Base de données'!$E:$E, 'Base de données'!A:A, BD_etu_notes_S2_C1!C21, 'Base de données'!$C:$C, BD_etu_notes_S2_C1!A21), 0),0)</f>
        <v>14</v>
      </c>
    </row>
    <row r="22" spans="1:5" x14ac:dyDescent="0.2">
      <c r="A22" s="4" t="str">
        <f>_xlfn.XLOOKUP(B22,'Semestre 2'!$D$3:$D$29,'Semestre 2'!$B$3:$B$29,"introuvable")</f>
        <v>Reporting et datavisualisation</v>
      </c>
      <c r="B22" s="4" t="s">
        <v>99</v>
      </c>
      <c r="C22" s="2" t="s">
        <v>26</v>
      </c>
      <c r="D22" s="4">
        <f>_xlfn.XLOOKUP(B22,'Semestre 2'!$D$3:$D$29,'Semestre 2'!$C$3:$C$29,"introuvable")</f>
        <v>10</v>
      </c>
      <c r="E22" s="4">
        <f>IFERROR(IFERROR(SUMIFS('Base de données'!$G:$G, 'Base de données'!A:A, BD_etu_notes_S2_C1!C22, 'Base de données'!$C:$C, BD_etu_notes_S2_C1!A22), 0) / IFERROR(SUMIFS('Base de données'!$E:$E, 'Base de données'!A:A, BD_etu_notes_S2_C1!C22, 'Base de données'!$C:$C, BD_etu_notes_S2_C1!A22), 0),0)</f>
        <v>10.5</v>
      </c>
    </row>
    <row r="23" spans="1:5" x14ac:dyDescent="0.2">
      <c r="A23" s="4" t="str">
        <f>_xlfn.XLOOKUP(B23,'Semestre 2'!$D$3:$D$29,'Semestre 2'!$B$3:$B$29,"introuvable")</f>
        <v>Reporting et datavisualisation</v>
      </c>
      <c r="B23" s="4" t="s">
        <v>99</v>
      </c>
      <c r="C23" s="2" t="s">
        <v>29</v>
      </c>
      <c r="D23" s="4">
        <f>_xlfn.XLOOKUP(B23,'Semestre 2'!$D$3:$D$29,'Semestre 2'!$C$3:$C$29,"introuvable")</f>
        <v>10</v>
      </c>
      <c r="E23" s="4">
        <f>IFERROR(IFERROR(SUMIFS('Base de données'!$G:$G, 'Base de données'!A:A, BD_etu_notes_S2_C1!C23, 'Base de données'!$C:$C, BD_etu_notes_S2_C1!A23), 0) / IFERROR(SUMIFS('Base de données'!$E:$E, 'Base de données'!A:A, BD_etu_notes_S2_C1!C23, 'Base de données'!$C:$C, BD_etu_notes_S2_C1!A23), 0),0)</f>
        <v>12</v>
      </c>
    </row>
    <row r="24" spans="1:5" x14ac:dyDescent="0.2">
      <c r="A24" s="4" t="str">
        <f>_xlfn.XLOOKUP(B24,'Semestre 2'!$D$3:$D$29,'Semestre 2'!$B$3:$B$29,"introuvable")</f>
        <v>Bases de données relationnelles 2</v>
      </c>
      <c r="B24" s="4" t="s">
        <v>100</v>
      </c>
      <c r="C24" s="2" t="s">
        <v>5</v>
      </c>
      <c r="D24" s="4">
        <f>_xlfn.XLOOKUP(B24,'Semestre 2'!$D$3:$D$29,'Semestre 2'!$C$3:$C$29,"introuvable")</f>
        <v>15</v>
      </c>
      <c r="E24" s="4">
        <f>IFERROR(IFERROR(SUMIFS('Base de données'!$G:$G, 'Base de données'!A:A, BD_etu_notes_S2_C1!C24, 'Base de données'!$C:$C, BD_etu_notes_S2_C1!A24), 0) / IFERROR(SUMIFS('Base de données'!$E:$E, 'Base de données'!A:A, BD_etu_notes_S2_C1!C24, 'Base de données'!$C:$C, BD_etu_notes_S2_C1!A24), 0),0)</f>
        <v>13</v>
      </c>
    </row>
    <row r="25" spans="1:5" x14ac:dyDescent="0.2">
      <c r="A25" s="4" t="str">
        <f>_xlfn.XLOOKUP(B25,'Semestre 2'!$D$3:$D$29,'Semestre 2'!$B$3:$B$29,"introuvable")</f>
        <v>Bases de données relationnelles 2</v>
      </c>
      <c r="B25" s="4" t="s">
        <v>100</v>
      </c>
      <c r="C25" s="2" t="s">
        <v>9</v>
      </c>
      <c r="D25" s="4">
        <f>_xlfn.XLOOKUP(B25,'Semestre 2'!$D$3:$D$29,'Semestre 2'!$C$3:$C$29,"introuvable")</f>
        <v>15</v>
      </c>
      <c r="E25" s="4">
        <f>IFERROR(IFERROR(SUMIFS('Base de données'!$G:$G, 'Base de données'!A:A, BD_etu_notes_S2_C1!C25, 'Base de données'!$C:$C, BD_etu_notes_S2_C1!A25), 0) / IFERROR(SUMIFS('Base de données'!$E:$E, 'Base de données'!A:A, BD_etu_notes_S2_C1!C25, 'Base de données'!$C:$C, BD_etu_notes_S2_C1!A25), 0),0)</f>
        <v>14.5</v>
      </c>
    </row>
    <row r="26" spans="1:5" x14ac:dyDescent="0.2">
      <c r="A26" s="4" t="str">
        <f>_xlfn.XLOOKUP(B26,'Semestre 2'!$D$3:$D$29,'Semestre 2'!$B$3:$B$29,"introuvable")</f>
        <v>Bases de données relationnelles 2</v>
      </c>
      <c r="B26" s="4" t="s">
        <v>100</v>
      </c>
      <c r="C26" s="2" t="s">
        <v>11</v>
      </c>
      <c r="D26" s="4">
        <f>_xlfn.XLOOKUP(B26,'Semestre 2'!$D$3:$D$29,'Semestre 2'!$C$3:$C$29,"introuvable")</f>
        <v>15</v>
      </c>
      <c r="E26" s="4">
        <f>IFERROR(IFERROR(SUMIFS('Base de données'!$G:$G, 'Base de données'!A:A, BD_etu_notes_S2_C1!C26, 'Base de données'!$C:$C, BD_etu_notes_S2_C1!A26), 0) / IFERROR(SUMIFS('Base de données'!$E:$E, 'Base de données'!A:A, BD_etu_notes_S2_C1!C26, 'Base de données'!$C:$C, BD_etu_notes_S2_C1!A26), 0),0)</f>
        <v>16</v>
      </c>
    </row>
    <row r="27" spans="1:5" x14ac:dyDescent="0.2">
      <c r="A27" s="4" t="str">
        <f>_xlfn.XLOOKUP(B27,'Semestre 2'!$D$3:$D$29,'Semestre 2'!$B$3:$B$29,"introuvable")</f>
        <v>Bases de données relationnelles 2</v>
      </c>
      <c r="B27" s="4" t="s">
        <v>100</v>
      </c>
      <c r="C27" s="2" t="s">
        <v>14</v>
      </c>
      <c r="D27" s="4">
        <f>_xlfn.XLOOKUP(B27,'Semestre 2'!$D$3:$D$29,'Semestre 2'!$C$3:$C$29,"introuvable")</f>
        <v>15</v>
      </c>
      <c r="E27" s="4">
        <f>IFERROR(IFERROR(SUMIFS('Base de données'!$G:$G, 'Base de données'!A:A, BD_etu_notes_S2_C1!C27, 'Base de données'!$C:$C, BD_etu_notes_S2_C1!A27), 0) / IFERROR(SUMIFS('Base de données'!$E:$E, 'Base de données'!A:A, BD_etu_notes_S2_C1!C27, 'Base de données'!$C:$C, BD_etu_notes_S2_C1!A27), 0),0)</f>
        <v>14</v>
      </c>
    </row>
    <row r="28" spans="1:5" x14ac:dyDescent="0.2">
      <c r="A28" s="4" t="str">
        <f>_xlfn.XLOOKUP(B28,'Semestre 2'!$D$3:$D$29,'Semestre 2'!$B$3:$B$29,"introuvable")</f>
        <v>Bases de données relationnelles 2</v>
      </c>
      <c r="B28" s="4" t="s">
        <v>100</v>
      </c>
      <c r="C28" s="2" t="s">
        <v>16</v>
      </c>
      <c r="D28" s="4">
        <f>_xlfn.XLOOKUP(B28,'Semestre 2'!$D$3:$D$29,'Semestre 2'!$C$3:$C$29,"introuvable")</f>
        <v>15</v>
      </c>
      <c r="E28" s="4">
        <f>IFERROR(IFERROR(SUMIFS('Base de données'!$G:$G, 'Base de données'!A:A, BD_etu_notes_S2_C1!C28, 'Base de données'!$C:$C, BD_etu_notes_S2_C1!A28), 0) / IFERROR(SUMIFS('Base de données'!$E:$E, 'Base de données'!A:A, BD_etu_notes_S2_C1!C28, 'Base de données'!$C:$C, BD_etu_notes_S2_C1!A28), 0),0)</f>
        <v>13</v>
      </c>
    </row>
    <row r="29" spans="1:5" x14ac:dyDescent="0.2">
      <c r="A29" s="4" t="str">
        <f>_xlfn.XLOOKUP(B29,'Semestre 2'!$D$3:$D$29,'Semestre 2'!$B$3:$B$29,"introuvable")</f>
        <v>Bases de données relationnelles 2</v>
      </c>
      <c r="B29" s="4" t="s">
        <v>100</v>
      </c>
      <c r="C29" s="2" t="s">
        <v>19</v>
      </c>
      <c r="D29" s="4">
        <f>_xlfn.XLOOKUP(B29,'Semestre 2'!$D$3:$D$29,'Semestre 2'!$C$3:$C$29,"introuvable")</f>
        <v>15</v>
      </c>
      <c r="E29" s="4">
        <f>IFERROR(IFERROR(SUMIFS('Base de données'!$G:$G, 'Base de données'!A:A, BD_etu_notes_S2_C1!C29, 'Base de données'!$C:$C, BD_etu_notes_S2_C1!A29), 0) / IFERROR(SUMIFS('Base de données'!$E:$E, 'Base de données'!A:A, BD_etu_notes_S2_C1!C29, 'Base de données'!$C:$C, BD_etu_notes_S2_C1!A29), 0),0)</f>
        <v>15.5</v>
      </c>
    </row>
    <row r="30" spans="1:5" x14ac:dyDescent="0.2">
      <c r="A30" s="4" t="str">
        <f>_xlfn.XLOOKUP(B30,'Semestre 2'!$D$3:$D$29,'Semestre 2'!$B$3:$B$29,"introuvable")</f>
        <v>Bases de données relationnelles 2</v>
      </c>
      <c r="B30" s="4" t="s">
        <v>100</v>
      </c>
      <c r="C30" s="2" t="s">
        <v>21</v>
      </c>
      <c r="D30" s="4">
        <f>_xlfn.XLOOKUP(B30,'Semestre 2'!$D$3:$D$29,'Semestre 2'!$C$3:$C$29,"introuvable")</f>
        <v>15</v>
      </c>
      <c r="E30" s="4">
        <f>IFERROR(IFERROR(SUMIFS('Base de données'!$G:$G, 'Base de données'!A:A, BD_etu_notes_S2_C1!C30, 'Base de données'!$C:$C, BD_etu_notes_S2_C1!A30), 0) / IFERROR(SUMIFS('Base de données'!$E:$E, 'Base de données'!A:A, BD_etu_notes_S2_C1!C30, 'Base de données'!$C:$C, BD_etu_notes_S2_C1!A30), 0),0)</f>
        <v>10</v>
      </c>
    </row>
    <row r="31" spans="1:5" x14ac:dyDescent="0.2">
      <c r="A31" s="4" t="str">
        <f>_xlfn.XLOOKUP(B31,'Semestre 2'!$D$3:$D$29,'Semestre 2'!$B$3:$B$29,"introuvable")</f>
        <v>Bases de données relationnelles 2</v>
      </c>
      <c r="B31" s="4" t="s">
        <v>100</v>
      </c>
      <c r="C31" s="2" t="s">
        <v>24</v>
      </c>
      <c r="D31" s="4">
        <f>_xlfn.XLOOKUP(B31,'Semestre 2'!$D$3:$D$29,'Semestre 2'!$C$3:$C$29,"introuvable")</f>
        <v>15</v>
      </c>
      <c r="E31" s="4">
        <f>IFERROR(IFERROR(SUMIFS('Base de données'!$G:$G, 'Base de données'!A:A, BD_etu_notes_S2_C1!C31, 'Base de données'!$C:$C, BD_etu_notes_S2_C1!A31), 0) / IFERROR(SUMIFS('Base de données'!$E:$E, 'Base de données'!A:A, BD_etu_notes_S2_C1!C31, 'Base de données'!$C:$C, BD_etu_notes_S2_C1!A31), 0),0)</f>
        <v>13.5</v>
      </c>
    </row>
    <row r="32" spans="1:5" x14ac:dyDescent="0.2">
      <c r="A32" s="4" t="str">
        <f>_xlfn.XLOOKUP(B32,'Semestre 2'!$D$3:$D$29,'Semestre 2'!$B$3:$B$29,"introuvable")</f>
        <v>Bases de données relationnelles 2</v>
      </c>
      <c r="B32" s="4" t="s">
        <v>100</v>
      </c>
      <c r="C32" s="2" t="s">
        <v>26</v>
      </c>
      <c r="D32" s="4">
        <f>_xlfn.XLOOKUP(B32,'Semestre 2'!$D$3:$D$29,'Semestre 2'!$C$3:$C$29,"introuvable")</f>
        <v>15</v>
      </c>
      <c r="E32" s="4">
        <f>IFERROR(IFERROR(SUMIFS('Base de données'!$G:$G, 'Base de données'!A:A, BD_etu_notes_S2_C1!C32, 'Base de données'!$C:$C, BD_etu_notes_S2_C1!A32), 0) / IFERROR(SUMIFS('Base de données'!$E:$E, 'Base de données'!A:A, BD_etu_notes_S2_C1!C32, 'Base de données'!$C:$C, BD_etu_notes_S2_C1!A32), 0),0)</f>
        <v>11</v>
      </c>
    </row>
    <row r="33" spans="1:5" x14ac:dyDescent="0.2">
      <c r="A33" s="4" t="str">
        <f>_xlfn.XLOOKUP(B33,'Semestre 2'!$D$3:$D$29,'Semestre 2'!$B$3:$B$29,"introuvable")</f>
        <v>Bases de données relationnelles 2</v>
      </c>
      <c r="B33" s="4" t="s">
        <v>100</v>
      </c>
      <c r="C33" s="2" t="s">
        <v>29</v>
      </c>
      <c r="D33" s="4">
        <f>_xlfn.XLOOKUP(B33,'Semestre 2'!$D$3:$D$29,'Semestre 2'!$C$3:$C$29,"introuvable")</f>
        <v>15</v>
      </c>
      <c r="E33" s="4">
        <f>IFERROR(IFERROR(SUMIFS('Base de données'!$G:$G, 'Base de données'!A:A, BD_etu_notes_S2_C1!C33, 'Base de données'!$C:$C, BD_etu_notes_S2_C1!A33), 0) / IFERROR(SUMIFS('Base de données'!$E:$E, 'Base de données'!A:A, BD_etu_notes_S2_C1!C33, 'Base de données'!$C:$C, BD_etu_notes_S2_C1!A33), 0),0)</f>
        <v>10.5</v>
      </c>
    </row>
    <row r="34" spans="1:5" x14ac:dyDescent="0.2">
      <c r="A34" s="4" t="str">
        <f>_xlfn.XLOOKUP(B34,'Semestre 2'!$D$3:$D$29,'Semestre 2'!$B$3:$B$29,"introuvable")</f>
        <v>Bases de la programmation 2</v>
      </c>
      <c r="B34" s="4" t="s">
        <v>101</v>
      </c>
      <c r="C34" s="2" t="s">
        <v>5</v>
      </c>
      <c r="D34" s="4">
        <f>_xlfn.XLOOKUP(B34,'Semestre 2'!$D$3:$D$29,'Semestre 2'!$C$3:$C$29,"introuvable")</f>
        <v>15</v>
      </c>
      <c r="E34" s="4">
        <f>IFERROR(IFERROR(SUMIFS('Base de données'!$G:$G, 'Base de données'!A:A, BD_etu_notes_S2_C1!C34, 'Base de données'!$C:$C, BD_etu_notes_S2_C1!A34), 0) / IFERROR(SUMIFS('Base de données'!$E:$E, 'Base de données'!A:A, BD_etu_notes_S2_C1!C34, 'Base de données'!$C:$C, BD_etu_notes_S2_C1!A34), 0),0)</f>
        <v>14.5</v>
      </c>
    </row>
    <row r="35" spans="1:5" x14ac:dyDescent="0.2">
      <c r="A35" s="4" t="str">
        <f>_xlfn.XLOOKUP(B35,'Semestre 2'!$D$3:$D$29,'Semestre 2'!$B$3:$B$29,"introuvable")</f>
        <v>Bases de la programmation 2</v>
      </c>
      <c r="B35" s="4" t="s">
        <v>101</v>
      </c>
      <c r="C35" s="2" t="s">
        <v>9</v>
      </c>
      <c r="D35" s="4">
        <f>_xlfn.XLOOKUP(B35,'Semestre 2'!$D$3:$D$29,'Semestre 2'!$C$3:$C$29,"introuvable")</f>
        <v>15</v>
      </c>
      <c r="E35" s="4">
        <f>IFERROR(IFERROR(SUMIFS('Base de données'!$G:$G, 'Base de données'!A:A, BD_etu_notes_S2_C1!C35, 'Base de données'!$C:$C, BD_etu_notes_S2_C1!A35), 0) / IFERROR(SUMIFS('Base de données'!$E:$E, 'Base de données'!A:A, BD_etu_notes_S2_C1!C35, 'Base de données'!$C:$C, BD_etu_notes_S2_C1!A35), 0),0)</f>
        <v>13</v>
      </c>
    </row>
    <row r="36" spans="1:5" x14ac:dyDescent="0.2">
      <c r="A36" s="4" t="str">
        <f>_xlfn.XLOOKUP(B36,'Semestre 2'!$D$3:$D$29,'Semestre 2'!$B$3:$B$29,"introuvable")</f>
        <v>Bases de la programmation 2</v>
      </c>
      <c r="B36" s="4" t="s">
        <v>101</v>
      </c>
      <c r="C36" s="2" t="s">
        <v>11</v>
      </c>
      <c r="D36" s="4">
        <f>_xlfn.XLOOKUP(B36,'Semestre 2'!$D$3:$D$29,'Semestre 2'!$C$3:$C$29,"introuvable")</f>
        <v>15</v>
      </c>
      <c r="E36" s="4">
        <f>IFERROR(IFERROR(SUMIFS('Base de données'!$G:$G, 'Base de données'!A:A, BD_etu_notes_S2_C1!C36, 'Base de données'!$C:$C, BD_etu_notes_S2_C1!A36), 0) / IFERROR(SUMIFS('Base de données'!$E:$E, 'Base de données'!A:A, BD_etu_notes_S2_C1!C36, 'Base de données'!$C:$C, BD_etu_notes_S2_C1!A36), 0),0)</f>
        <v>15</v>
      </c>
    </row>
    <row r="37" spans="1:5" x14ac:dyDescent="0.2">
      <c r="A37" s="4" t="str">
        <f>_xlfn.XLOOKUP(B37,'Semestre 2'!$D$3:$D$29,'Semestre 2'!$B$3:$B$29,"introuvable")</f>
        <v>Bases de la programmation 2</v>
      </c>
      <c r="B37" s="4" t="s">
        <v>101</v>
      </c>
      <c r="C37" s="2" t="s">
        <v>14</v>
      </c>
      <c r="D37" s="4">
        <f>_xlfn.XLOOKUP(B37,'Semestre 2'!$D$3:$D$29,'Semestre 2'!$C$3:$C$29,"introuvable")</f>
        <v>15</v>
      </c>
      <c r="E37" s="4">
        <f>IFERROR(IFERROR(SUMIFS('Base de données'!$G:$G, 'Base de données'!A:A, BD_etu_notes_S2_C1!C37, 'Base de données'!$C:$C, BD_etu_notes_S2_C1!A37), 0) / IFERROR(SUMIFS('Base de données'!$E:$E, 'Base de données'!A:A, BD_etu_notes_S2_C1!C37, 'Base de données'!$C:$C, BD_etu_notes_S2_C1!A37), 0),0)</f>
        <v>13.5</v>
      </c>
    </row>
    <row r="38" spans="1:5" x14ac:dyDescent="0.2">
      <c r="A38" s="4" t="str">
        <f>_xlfn.XLOOKUP(B38,'Semestre 2'!$D$3:$D$29,'Semestre 2'!$B$3:$B$29,"introuvable")</f>
        <v>Bases de la programmation 2</v>
      </c>
      <c r="B38" s="4" t="s">
        <v>101</v>
      </c>
      <c r="C38" s="2" t="s">
        <v>16</v>
      </c>
      <c r="D38" s="4">
        <f>_xlfn.XLOOKUP(B38,'Semestre 2'!$D$3:$D$29,'Semestre 2'!$C$3:$C$29,"introuvable")</f>
        <v>15</v>
      </c>
      <c r="E38" s="4">
        <f>IFERROR(IFERROR(SUMIFS('Base de données'!$G:$G, 'Base de données'!A:A, BD_etu_notes_S2_C1!C38, 'Base de données'!$C:$C, BD_etu_notes_S2_C1!A38), 0) / IFERROR(SUMIFS('Base de données'!$E:$E, 'Base de données'!A:A, BD_etu_notes_S2_C1!C38, 'Base de données'!$C:$C, BD_etu_notes_S2_C1!A38), 0),0)</f>
        <v>14</v>
      </c>
    </row>
    <row r="39" spans="1:5" x14ac:dyDescent="0.2">
      <c r="A39" s="4" t="str">
        <f>_xlfn.XLOOKUP(B39,'Semestre 2'!$D$3:$D$29,'Semestre 2'!$B$3:$B$29,"introuvable")</f>
        <v>Bases de la programmation 2</v>
      </c>
      <c r="B39" s="4" t="s">
        <v>101</v>
      </c>
      <c r="C39" s="2" t="s">
        <v>19</v>
      </c>
      <c r="D39" s="4">
        <f>_xlfn.XLOOKUP(B39,'Semestre 2'!$D$3:$D$29,'Semestre 2'!$C$3:$C$29,"introuvable")</f>
        <v>15</v>
      </c>
      <c r="E39" s="4">
        <f>IFERROR(IFERROR(SUMIFS('Base de données'!$G:$G, 'Base de données'!A:A, BD_etu_notes_S2_C1!C39, 'Base de données'!$C:$C, BD_etu_notes_S2_C1!A39), 0) / IFERROR(SUMIFS('Base de données'!$E:$E, 'Base de données'!A:A, BD_etu_notes_S2_C1!C39, 'Base de données'!$C:$C, BD_etu_notes_S2_C1!A39), 0),0)</f>
        <v>16</v>
      </c>
    </row>
    <row r="40" spans="1:5" x14ac:dyDescent="0.2">
      <c r="A40" s="4" t="str">
        <f>_xlfn.XLOOKUP(B40,'Semestre 2'!$D$3:$D$29,'Semestre 2'!$B$3:$B$29,"introuvable")</f>
        <v>Bases de la programmation 2</v>
      </c>
      <c r="B40" s="4" t="s">
        <v>101</v>
      </c>
      <c r="C40" s="2" t="s">
        <v>21</v>
      </c>
      <c r="D40" s="4">
        <f>_xlfn.XLOOKUP(B40,'Semestre 2'!$D$3:$D$29,'Semestre 2'!$C$3:$C$29,"introuvable")</f>
        <v>15</v>
      </c>
      <c r="E40" s="4">
        <f>IFERROR(IFERROR(SUMIFS('Base de données'!$G:$G, 'Base de données'!A:A, BD_etu_notes_S2_C1!C40, 'Base de données'!$C:$C, BD_etu_notes_S2_C1!A40), 0) / IFERROR(SUMIFS('Base de données'!$E:$E, 'Base de données'!A:A, BD_etu_notes_S2_C1!C40, 'Base de données'!$C:$C, BD_etu_notes_S2_C1!A40), 0),0)</f>
        <v>9.5</v>
      </c>
    </row>
    <row r="41" spans="1:5" x14ac:dyDescent="0.2">
      <c r="A41" s="4" t="str">
        <f>_xlfn.XLOOKUP(B41,'Semestre 2'!$D$3:$D$29,'Semestre 2'!$B$3:$B$29,"introuvable")</f>
        <v>Bases de la programmation 2</v>
      </c>
      <c r="B41" s="4" t="s">
        <v>101</v>
      </c>
      <c r="C41" s="2" t="s">
        <v>24</v>
      </c>
      <c r="D41" s="4">
        <f>_xlfn.XLOOKUP(B41,'Semestre 2'!$D$3:$D$29,'Semestre 2'!$C$3:$C$29,"introuvable")</f>
        <v>15</v>
      </c>
      <c r="E41" s="4">
        <f>IFERROR(IFERROR(SUMIFS('Base de données'!$G:$G, 'Base de données'!A:A, BD_etu_notes_S2_C1!C41, 'Base de données'!$C:$C, BD_etu_notes_S2_C1!A41), 0) / IFERROR(SUMIFS('Base de données'!$E:$E, 'Base de données'!A:A, BD_etu_notes_S2_C1!C41, 'Base de données'!$C:$C, BD_etu_notes_S2_C1!A41), 0),0)</f>
        <v>12</v>
      </c>
    </row>
    <row r="42" spans="1:5" x14ac:dyDescent="0.2">
      <c r="A42" s="4" t="str">
        <f>_xlfn.XLOOKUP(B42,'Semestre 2'!$D$3:$D$29,'Semestre 2'!$B$3:$B$29,"introuvable")</f>
        <v>Bases de la programmation 2</v>
      </c>
      <c r="B42" s="4" t="s">
        <v>101</v>
      </c>
      <c r="C42" s="2" t="s">
        <v>26</v>
      </c>
      <c r="D42" s="4">
        <f>_xlfn.XLOOKUP(B42,'Semestre 2'!$D$3:$D$29,'Semestre 2'!$C$3:$C$29,"introuvable")</f>
        <v>15</v>
      </c>
      <c r="E42" s="4">
        <f>IFERROR(IFERROR(SUMIFS('Base de données'!$G:$G, 'Base de données'!A:A, BD_etu_notes_S2_C1!C42, 'Base de données'!$C:$C, BD_etu_notes_S2_C1!A42), 0) / IFERROR(SUMIFS('Base de données'!$E:$E, 'Base de données'!A:A, BD_etu_notes_S2_C1!C42, 'Base de données'!$C:$C, BD_etu_notes_S2_C1!A42), 0),0)</f>
        <v>9</v>
      </c>
    </row>
    <row r="43" spans="1:5" x14ac:dyDescent="0.2">
      <c r="A43" s="4" t="str">
        <f>_xlfn.XLOOKUP(B43,'Semestre 2'!$D$3:$D$29,'Semestre 2'!$B$3:$B$29,"introuvable")</f>
        <v>Bases de la programmation 2</v>
      </c>
      <c r="B43" s="4" t="s">
        <v>101</v>
      </c>
      <c r="C43" s="2" t="s">
        <v>29</v>
      </c>
      <c r="D43" s="4">
        <f>_xlfn.XLOOKUP(B43,'Semestre 2'!$D$3:$D$29,'Semestre 2'!$C$3:$C$29,"introuvable")</f>
        <v>15</v>
      </c>
      <c r="E43" s="4">
        <f>IFERROR(IFERROR(SUMIFS('Base de données'!$G:$G, 'Base de données'!A:A, BD_etu_notes_S2_C1!C43, 'Base de données'!$C:$C, BD_etu_notes_S2_C1!A43), 0) / IFERROR(SUMIFS('Base de données'!$E:$E, 'Base de données'!A:A, BD_etu_notes_S2_C1!C43, 'Base de données'!$C:$C, BD_etu_notes_S2_C1!A43), 0),0)</f>
        <v>13.5</v>
      </c>
    </row>
    <row r="44" spans="1:5" x14ac:dyDescent="0.2">
      <c r="A44" s="4" t="str">
        <f>_xlfn.XLOOKUP(B44,'Semestre 2'!$D$3:$D$29,'Semestre 2'!$B$3:$B$29,"introuvable")</f>
        <v>Programmation statistique</v>
      </c>
      <c r="B44" s="4" t="s">
        <v>102</v>
      </c>
      <c r="C44" s="2" t="s">
        <v>5</v>
      </c>
      <c r="D44" s="4">
        <f>_xlfn.XLOOKUP(B44,'Semestre 2'!$D$3:$D$29,'Semestre 2'!$C$3:$C$29,"introuvable")</f>
        <v>15</v>
      </c>
      <c r="E44" s="4">
        <f>IFERROR(IFERROR(SUMIFS('Base de données'!$G:$G, 'Base de données'!A:A, BD_etu_notes_S2_C1!C44, 'Base de données'!$C:$C, BD_etu_notes_S2_C1!A44), 0) / IFERROR(SUMIFS('Base de données'!$E:$E, 'Base de données'!A:A, BD_etu_notes_S2_C1!C44, 'Base de données'!$C:$C, BD_etu_notes_S2_C1!A44), 0),0)</f>
        <v>13.181818181818182</v>
      </c>
    </row>
    <row r="45" spans="1:5" x14ac:dyDescent="0.2">
      <c r="A45" s="4" t="str">
        <f>_xlfn.XLOOKUP(B45,'Semestre 2'!$D$3:$D$29,'Semestre 2'!$B$3:$B$29,"introuvable")</f>
        <v>Programmation statistique</v>
      </c>
      <c r="B45" s="4" t="s">
        <v>102</v>
      </c>
      <c r="C45" s="2" t="s">
        <v>9</v>
      </c>
      <c r="D45" s="4">
        <f>_xlfn.XLOOKUP(B45,'Semestre 2'!$D$3:$D$29,'Semestre 2'!$C$3:$C$29,"introuvable")</f>
        <v>15</v>
      </c>
      <c r="E45" s="4">
        <f>IFERROR(IFERROR(SUMIFS('Base de données'!$G:$G, 'Base de données'!A:A, BD_etu_notes_S2_C1!C45, 'Base de données'!$C:$C, BD_etu_notes_S2_C1!A45), 0) / IFERROR(SUMIFS('Base de données'!$E:$E, 'Base de données'!A:A, BD_etu_notes_S2_C1!C45, 'Base de données'!$C:$C, BD_etu_notes_S2_C1!A45), 0),0)</f>
        <v>16</v>
      </c>
    </row>
    <row r="46" spans="1:5" x14ac:dyDescent="0.2">
      <c r="A46" s="4" t="str">
        <f>_xlfn.XLOOKUP(B46,'Semestre 2'!$D$3:$D$29,'Semestre 2'!$B$3:$B$29,"introuvable")</f>
        <v>Programmation statistique</v>
      </c>
      <c r="B46" s="4" t="s">
        <v>102</v>
      </c>
      <c r="C46" s="2" t="s">
        <v>11</v>
      </c>
      <c r="D46" s="4">
        <f>_xlfn.XLOOKUP(B46,'Semestre 2'!$D$3:$D$29,'Semestre 2'!$C$3:$C$29,"introuvable")</f>
        <v>15</v>
      </c>
      <c r="E46" s="4">
        <f>IFERROR(IFERROR(SUMIFS('Base de données'!$G:$G, 'Base de données'!A:A, BD_etu_notes_S2_C1!C46, 'Base de données'!$C:$C, BD_etu_notes_S2_C1!A46), 0) / IFERROR(SUMIFS('Base de données'!$E:$E, 'Base de données'!A:A, BD_etu_notes_S2_C1!C46, 'Base de données'!$C:$C, BD_etu_notes_S2_C1!A46), 0),0)</f>
        <v>14.5</v>
      </c>
    </row>
    <row r="47" spans="1:5" x14ac:dyDescent="0.2">
      <c r="A47" s="4" t="str">
        <f>_xlfn.XLOOKUP(B47,'Semestre 2'!$D$3:$D$29,'Semestre 2'!$B$3:$B$29,"introuvable")</f>
        <v>Programmation statistique</v>
      </c>
      <c r="B47" s="4" t="s">
        <v>102</v>
      </c>
      <c r="C47" s="2" t="s">
        <v>14</v>
      </c>
      <c r="D47" s="4">
        <f>_xlfn.XLOOKUP(B47,'Semestre 2'!$D$3:$D$29,'Semestre 2'!$C$3:$C$29,"introuvable")</f>
        <v>15</v>
      </c>
      <c r="E47" s="4">
        <f>IFERROR(IFERROR(SUMIFS('Base de données'!$G:$G, 'Base de données'!A:A, BD_etu_notes_S2_C1!C47, 'Base de données'!$C:$C, BD_etu_notes_S2_C1!A47), 0) / IFERROR(SUMIFS('Base de données'!$E:$E, 'Base de données'!A:A, BD_etu_notes_S2_C1!C47, 'Base de données'!$C:$C, BD_etu_notes_S2_C1!A47), 0),0)</f>
        <v>12</v>
      </c>
    </row>
    <row r="48" spans="1:5" x14ac:dyDescent="0.2">
      <c r="A48" s="4" t="str">
        <f>_xlfn.XLOOKUP(B48,'Semestre 2'!$D$3:$D$29,'Semestre 2'!$B$3:$B$29,"introuvable")</f>
        <v>Programmation statistique</v>
      </c>
      <c r="B48" s="4" t="s">
        <v>102</v>
      </c>
      <c r="C48" s="2" t="s">
        <v>16</v>
      </c>
      <c r="D48" s="4">
        <f>_xlfn.XLOOKUP(B48,'Semestre 2'!$D$3:$D$29,'Semestre 2'!$C$3:$C$29,"introuvable")</f>
        <v>15</v>
      </c>
      <c r="E48" s="4">
        <f>IFERROR(IFERROR(SUMIFS('Base de données'!$G:$G, 'Base de données'!A:A, BD_etu_notes_S2_C1!C48, 'Base de données'!$C:$C, BD_etu_notes_S2_C1!A48), 0) / IFERROR(SUMIFS('Base de données'!$E:$E, 'Base de données'!A:A, BD_etu_notes_S2_C1!C48, 'Base de données'!$C:$C, BD_etu_notes_S2_C1!A48), 0),0)</f>
        <v>15.5</v>
      </c>
    </row>
    <row r="49" spans="1:5" x14ac:dyDescent="0.2">
      <c r="A49" s="4" t="str">
        <f>_xlfn.XLOOKUP(B49,'Semestre 2'!$D$3:$D$29,'Semestre 2'!$B$3:$B$29,"introuvable")</f>
        <v>Programmation statistique</v>
      </c>
      <c r="B49" s="4" t="s">
        <v>102</v>
      </c>
      <c r="C49" s="2" t="s">
        <v>19</v>
      </c>
      <c r="D49" s="4">
        <f>_xlfn.XLOOKUP(B49,'Semestre 2'!$D$3:$D$29,'Semestre 2'!$C$3:$C$29,"introuvable")</f>
        <v>15</v>
      </c>
      <c r="E49" s="4">
        <f>IFERROR(IFERROR(SUMIFS('Base de données'!$G:$G, 'Base de données'!A:A, BD_etu_notes_S2_C1!C49, 'Base de données'!$C:$C, BD_etu_notes_S2_C1!A49), 0) / IFERROR(SUMIFS('Base de données'!$E:$E, 'Base de données'!A:A, BD_etu_notes_S2_C1!C49, 'Base de données'!$C:$C, BD_etu_notes_S2_C1!A49), 0),0)</f>
        <v>13</v>
      </c>
    </row>
    <row r="50" spans="1:5" x14ac:dyDescent="0.2">
      <c r="A50" s="4" t="str">
        <f>_xlfn.XLOOKUP(B50,'Semestre 2'!$D$3:$D$29,'Semestre 2'!$B$3:$B$29,"introuvable")</f>
        <v>Programmation statistique</v>
      </c>
      <c r="B50" s="4" t="s">
        <v>102</v>
      </c>
      <c r="C50" s="2" t="s">
        <v>21</v>
      </c>
      <c r="D50" s="4">
        <f>_xlfn.XLOOKUP(B50,'Semestre 2'!$D$3:$D$29,'Semestre 2'!$C$3:$C$29,"introuvable")</f>
        <v>15</v>
      </c>
      <c r="E50" s="4">
        <f>IFERROR(IFERROR(SUMIFS('Base de données'!$G:$G, 'Base de données'!A:A, BD_etu_notes_S2_C1!C50, 'Base de données'!$C:$C, BD_etu_notes_S2_C1!A50), 0) / IFERROR(SUMIFS('Base de données'!$E:$E, 'Base de données'!A:A, BD_etu_notes_S2_C1!C50, 'Base de données'!$C:$C, BD_etu_notes_S2_C1!A50), 0),0)</f>
        <v>10.5</v>
      </c>
    </row>
    <row r="51" spans="1:5" x14ac:dyDescent="0.2">
      <c r="A51" s="4" t="str">
        <f>_xlfn.XLOOKUP(B51,'Semestre 2'!$D$3:$D$29,'Semestre 2'!$B$3:$B$29,"introuvable")</f>
        <v>Programmation statistique</v>
      </c>
      <c r="B51" s="4" t="s">
        <v>102</v>
      </c>
      <c r="C51" s="2" t="s">
        <v>24</v>
      </c>
      <c r="D51" s="4">
        <f>_xlfn.XLOOKUP(B51,'Semestre 2'!$D$3:$D$29,'Semestre 2'!$C$3:$C$29,"introuvable")</f>
        <v>15</v>
      </c>
      <c r="E51" s="4">
        <f>IFERROR(IFERROR(SUMIFS('Base de données'!$G:$G, 'Base de données'!A:A, BD_etu_notes_S2_C1!C51, 'Base de données'!$C:$C, BD_etu_notes_S2_C1!A51), 0) / IFERROR(SUMIFS('Base de données'!$E:$E, 'Base de données'!A:A, BD_etu_notes_S2_C1!C51, 'Base de données'!$C:$C, BD_etu_notes_S2_C1!A51), 0),0)</f>
        <v>15</v>
      </c>
    </row>
    <row r="52" spans="1:5" x14ac:dyDescent="0.2">
      <c r="A52" s="4" t="str">
        <f>_xlfn.XLOOKUP(B52,'Semestre 2'!$D$3:$D$29,'Semestre 2'!$B$3:$B$29,"introuvable")</f>
        <v>Programmation statistique</v>
      </c>
      <c r="B52" s="4" t="s">
        <v>102</v>
      </c>
      <c r="C52" s="2" t="s">
        <v>26</v>
      </c>
      <c r="D52" s="4">
        <f>_xlfn.XLOOKUP(B52,'Semestre 2'!$D$3:$D$29,'Semestre 2'!$C$3:$C$29,"introuvable")</f>
        <v>15</v>
      </c>
      <c r="E52" s="4">
        <f>IFERROR(IFERROR(SUMIFS('Base de données'!$G:$G, 'Base de données'!A:A, BD_etu_notes_S2_C1!C52, 'Base de données'!$C:$C, BD_etu_notes_S2_C1!A52), 0) / IFERROR(SUMIFS('Base de données'!$E:$E, 'Base de données'!A:A, BD_etu_notes_S2_C1!C52, 'Base de données'!$C:$C, BD_etu_notes_S2_C1!A52), 0),0)</f>
        <v>10.5</v>
      </c>
    </row>
    <row r="53" spans="1:5" x14ac:dyDescent="0.2">
      <c r="A53" s="4" t="str">
        <f>_xlfn.XLOOKUP(B53,'Semestre 2'!$D$3:$D$29,'Semestre 2'!$B$3:$B$29,"introuvable")</f>
        <v>Programmation statistique</v>
      </c>
      <c r="B53" s="4" t="s">
        <v>102</v>
      </c>
      <c r="C53" s="2" t="s">
        <v>29</v>
      </c>
      <c r="D53" s="4">
        <f>_xlfn.XLOOKUP(B53,'Semestre 2'!$D$3:$D$29,'Semestre 2'!$C$3:$C$29,"introuvable")</f>
        <v>15</v>
      </c>
      <c r="E53" s="4">
        <f>IFERROR(IFERROR(SUMIFS('Base de données'!$G:$G, 'Base de données'!A:A, BD_etu_notes_S2_C1!C53, 'Base de données'!$C:$C, BD_etu_notes_S2_C1!A53), 0) / IFERROR(SUMIFS('Base de données'!$E:$E, 'Base de données'!A:A, BD_etu_notes_S2_C1!C53, 'Base de données'!$C:$C, BD_etu_notes_S2_C1!A53), 0),0)</f>
        <v>15</v>
      </c>
    </row>
    <row r="54" spans="1:5" x14ac:dyDescent="0.2">
      <c r="A54" s="4" t="str">
        <f>_xlfn.XLOOKUP(B54,'Semestre 2'!$D$3:$D$29,'Semestre 2'!$B$3:$B$29,"introuvable")</f>
        <v>SAÉ - Conception et implémentation d'une base de données</v>
      </c>
      <c r="B54" s="4" t="s">
        <v>103</v>
      </c>
      <c r="C54" s="2" t="s">
        <v>5</v>
      </c>
      <c r="D54" s="4">
        <f>_xlfn.XLOOKUP(B54,'Semestre 2'!$D$3:$D$29,'Semestre 2'!$C$3:$C$29,"introuvable")</f>
        <v>10</v>
      </c>
      <c r="E54" s="4">
        <f>IFERROR(IFERROR(SUMIFS('Base de données'!$G:$G, 'Base de données'!A:A, BD_etu_notes_S2_C1!C54, 'Base de données'!$C:$C, BD_etu_notes_S2_C1!A54), 0) / IFERROR(SUMIFS('Base de données'!$E:$E, 'Base de données'!A:A, BD_etu_notes_S2_C1!C54, 'Base de données'!$C:$C, BD_etu_notes_S2_C1!A54), 0),0)</f>
        <v>10.5</v>
      </c>
    </row>
    <row r="55" spans="1:5" x14ac:dyDescent="0.2">
      <c r="A55" s="4" t="str">
        <f>_xlfn.XLOOKUP(B55,'Semestre 2'!$D$3:$D$29,'Semestre 2'!$B$3:$B$29,"introuvable")</f>
        <v>SAÉ - Conception et implémentation d'une base de données</v>
      </c>
      <c r="B55" s="4" t="s">
        <v>103</v>
      </c>
      <c r="C55" s="2" t="s">
        <v>9</v>
      </c>
      <c r="D55" s="4">
        <f>_xlfn.XLOOKUP(B55,'Semestre 2'!$D$3:$D$29,'Semestre 2'!$C$3:$C$29,"introuvable")</f>
        <v>10</v>
      </c>
      <c r="E55" s="4">
        <f>IFERROR(IFERROR(SUMIFS('Base de données'!$G:$G, 'Base de données'!A:A, BD_etu_notes_S2_C1!C55, 'Base de données'!$C:$C, BD_etu_notes_S2_C1!A55), 0) / IFERROR(SUMIFS('Base de données'!$E:$E, 'Base de données'!A:A, BD_etu_notes_S2_C1!C55, 'Base de données'!$C:$C, BD_etu_notes_S2_C1!A55), 0),0)</f>
        <v>12.5</v>
      </c>
    </row>
    <row r="56" spans="1:5" x14ac:dyDescent="0.2">
      <c r="A56" s="4" t="str">
        <f>_xlfn.XLOOKUP(B56,'Semestre 2'!$D$3:$D$29,'Semestre 2'!$B$3:$B$29,"introuvable")</f>
        <v>SAÉ - Conception et implémentation d'une base de données</v>
      </c>
      <c r="B56" s="4" t="s">
        <v>103</v>
      </c>
      <c r="C56" s="2" t="s">
        <v>11</v>
      </c>
      <c r="D56" s="4">
        <f>_xlfn.XLOOKUP(B56,'Semestre 2'!$D$3:$D$29,'Semestre 2'!$C$3:$C$29,"introuvable")</f>
        <v>10</v>
      </c>
      <c r="E56" s="4">
        <f>IFERROR(IFERROR(SUMIFS('Base de données'!$G:$G, 'Base de données'!A:A, BD_etu_notes_S2_C1!C56, 'Base de données'!$C:$C, BD_etu_notes_S2_C1!A56), 0) / IFERROR(SUMIFS('Base de données'!$E:$E, 'Base de données'!A:A, BD_etu_notes_S2_C1!C56, 'Base de données'!$C:$C, BD_etu_notes_S2_C1!A56), 0),0)</f>
        <v>11</v>
      </c>
    </row>
    <row r="57" spans="1:5" x14ac:dyDescent="0.2">
      <c r="A57" s="4" t="str">
        <f>_xlfn.XLOOKUP(B57,'Semestre 2'!$D$3:$D$29,'Semestre 2'!$B$3:$B$29,"introuvable")</f>
        <v>SAÉ - Conception et implémentation d'une base de données</v>
      </c>
      <c r="B57" s="4" t="s">
        <v>103</v>
      </c>
      <c r="C57" s="2" t="s">
        <v>14</v>
      </c>
      <c r="D57" s="4">
        <f>_xlfn.XLOOKUP(B57,'Semestre 2'!$D$3:$D$29,'Semestre 2'!$C$3:$C$29,"introuvable")</f>
        <v>10</v>
      </c>
      <c r="E57" s="4">
        <f>IFERROR(IFERROR(SUMIFS('Base de données'!$G:$G, 'Base de données'!A:A, BD_etu_notes_S2_C1!C57, 'Base de données'!$C:$C, BD_etu_notes_S2_C1!A57), 0) / IFERROR(SUMIFS('Base de données'!$E:$E, 'Base de données'!A:A, BD_etu_notes_S2_C1!C57, 'Base de données'!$C:$C, BD_etu_notes_S2_C1!A57), 0),0)</f>
        <v>15.5</v>
      </c>
    </row>
    <row r="58" spans="1:5" x14ac:dyDescent="0.2">
      <c r="A58" s="4" t="str">
        <f>_xlfn.XLOOKUP(B58,'Semestre 2'!$D$3:$D$29,'Semestre 2'!$B$3:$B$29,"introuvable")</f>
        <v>SAÉ - Conception et implémentation d'une base de données</v>
      </c>
      <c r="B58" s="4" t="s">
        <v>103</v>
      </c>
      <c r="C58" s="2" t="s">
        <v>16</v>
      </c>
      <c r="D58" s="4">
        <f>_xlfn.XLOOKUP(B58,'Semestre 2'!$D$3:$D$29,'Semestre 2'!$C$3:$C$29,"introuvable")</f>
        <v>10</v>
      </c>
      <c r="E58" s="4">
        <f>IFERROR(IFERROR(SUMIFS('Base de données'!$G:$G, 'Base de données'!A:A, BD_etu_notes_S2_C1!C58, 'Base de données'!$C:$C, BD_etu_notes_S2_C1!A58), 0) / IFERROR(SUMIFS('Base de données'!$E:$E, 'Base de données'!A:A, BD_etu_notes_S2_C1!C58, 'Base de données'!$C:$C, BD_etu_notes_S2_C1!A58), 0),0)</f>
        <v>16</v>
      </c>
    </row>
    <row r="59" spans="1:5" x14ac:dyDescent="0.2">
      <c r="A59" s="4" t="str">
        <f>_xlfn.XLOOKUP(B59,'Semestre 2'!$D$3:$D$29,'Semestre 2'!$B$3:$B$29,"introuvable")</f>
        <v>SAÉ - Conception et implémentation d'une base de données</v>
      </c>
      <c r="B59" s="4" t="s">
        <v>103</v>
      </c>
      <c r="C59" s="2" t="s">
        <v>19</v>
      </c>
      <c r="D59" s="4">
        <f>_xlfn.XLOOKUP(B59,'Semestre 2'!$D$3:$D$29,'Semestre 2'!$C$3:$C$29,"introuvable")</f>
        <v>10</v>
      </c>
      <c r="E59" s="4">
        <f>IFERROR(IFERROR(SUMIFS('Base de données'!$G:$G, 'Base de données'!A:A, BD_etu_notes_S2_C1!C59, 'Base de données'!$C:$C, BD_etu_notes_S2_C1!A59), 0) / IFERROR(SUMIFS('Base de données'!$E:$E, 'Base de données'!A:A, BD_etu_notes_S2_C1!C59, 'Base de données'!$C:$C, BD_etu_notes_S2_C1!A59), 0),0)</f>
        <v>14</v>
      </c>
    </row>
    <row r="60" spans="1:5" x14ac:dyDescent="0.2">
      <c r="A60" s="4" t="str">
        <f>_xlfn.XLOOKUP(B60,'Semestre 2'!$D$3:$D$29,'Semestre 2'!$B$3:$B$29,"introuvable")</f>
        <v>SAÉ - Conception et implémentation d'une base de données</v>
      </c>
      <c r="B60" s="4" t="s">
        <v>103</v>
      </c>
      <c r="C60" s="2" t="s">
        <v>21</v>
      </c>
      <c r="D60" s="4">
        <f>_xlfn.XLOOKUP(B60,'Semestre 2'!$D$3:$D$29,'Semestre 2'!$C$3:$C$29,"introuvable")</f>
        <v>10</v>
      </c>
      <c r="E60" s="4">
        <f>IFERROR(IFERROR(SUMIFS('Base de données'!$G:$G, 'Base de données'!A:A, BD_etu_notes_S2_C1!C60, 'Base de données'!$C:$C, BD_etu_notes_S2_C1!A60), 0) / IFERROR(SUMIFS('Base de données'!$E:$E, 'Base de données'!A:A, BD_etu_notes_S2_C1!C60, 'Base de données'!$C:$C, BD_etu_notes_S2_C1!A60), 0),0)</f>
        <v>12.5</v>
      </c>
    </row>
    <row r="61" spans="1:5" x14ac:dyDescent="0.2">
      <c r="A61" s="4" t="str">
        <f>_xlfn.XLOOKUP(B61,'Semestre 2'!$D$3:$D$29,'Semestre 2'!$B$3:$B$29,"introuvable")</f>
        <v>SAÉ - Conception et implémentation d'une base de données</v>
      </c>
      <c r="B61" s="4" t="s">
        <v>103</v>
      </c>
      <c r="C61" s="2" t="s">
        <v>24</v>
      </c>
      <c r="D61" s="4">
        <f>_xlfn.XLOOKUP(B61,'Semestre 2'!$D$3:$D$29,'Semestre 2'!$C$3:$C$29,"introuvable")</f>
        <v>10</v>
      </c>
      <c r="E61" s="4">
        <f>IFERROR(IFERROR(SUMIFS('Base de données'!$G:$G, 'Base de données'!A:A, BD_etu_notes_S2_C1!C61, 'Base de données'!$C:$C, BD_etu_notes_S2_C1!A61), 0) / IFERROR(SUMIFS('Base de données'!$E:$E, 'Base de données'!A:A, BD_etu_notes_S2_C1!C61, 'Base de données'!$C:$C, BD_etu_notes_S2_C1!A61), 0),0)</f>
        <v>11</v>
      </c>
    </row>
    <row r="62" spans="1:5" x14ac:dyDescent="0.2">
      <c r="A62" s="4" t="str">
        <f>_xlfn.XLOOKUP(B62,'Semestre 2'!$D$3:$D$29,'Semestre 2'!$B$3:$B$29,"introuvable")</f>
        <v>SAÉ - Conception et implémentation d'une base de données</v>
      </c>
      <c r="B62" s="4" t="s">
        <v>103</v>
      </c>
      <c r="C62" s="2" t="s">
        <v>26</v>
      </c>
      <c r="D62" s="4">
        <f>_xlfn.XLOOKUP(B62,'Semestre 2'!$D$3:$D$29,'Semestre 2'!$C$3:$C$29,"introuvable")</f>
        <v>10</v>
      </c>
      <c r="E62" s="4">
        <f>IFERROR(IFERROR(SUMIFS('Base de données'!$G:$G, 'Base de données'!A:A, BD_etu_notes_S2_C1!C62, 'Base de données'!$C:$C, BD_etu_notes_S2_C1!A62), 0) / IFERROR(SUMIFS('Base de données'!$E:$E, 'Base de données'!A:A, BD_etu_notes_S2_C1!C62, 'Base de données'!$C:$C, BD_etu_notes_S2_C1!A62), 0),0)</f>
        <v>13.5</v>
      </c>
    </row>
    <row r="63" spans="1:5" x14ac:dyDescent="0.2">
      <c r="A63" s="4" t="str">
        <f>_xlfn.XLOOKUP(B63,'Semestre 2'!$D$3:$D$29,'Semestre 2'!$B$3:$B$29,"introuvable")</f>
        <v>SAÉ - Conception et implémentation d'une base de données</v>
      </c>
      <c r="B63" s="4" t="s">
        <v>103</v>
      </c>
      <c r="C63" s="2" t="s">
        <v>29</v>
      </c>
      <c r="D63" s="4">
        <f>_xlfn.XLOOKUP(B63,'Semestre 2'!$D$3:$D$29,'Semestre 2'!$C$3:$C$29,"introuvable")</f>
        <v>10</v>
      </c>
      <c r="E63" s="4">
        <f>IFERROR(IFERROR(SUMIFS('Base de données'!$G:$G, 'Base de données'!A:A, BD_etu_notes_S2_C1!C63, 'Base de données'!$C:$C, BD_etu_notes_S2_C1!A63), 0) / IFERROR(SUMIFS('Base de données'!$E:$E, 'Base de données'!A:A, BD_etu_notes_S2_C1!C63, 'Base de données'!$C:$C, BD_etu_notes_S2_C1!A63), 0),0)</f>
        <v>14.5</v>
      </c>
    </row>
    <row r="64" spans="1:5" x14ac:dyDescent="0.2">
      <c r="A64" s="4" t="str">
        <f>_xlfn.XLOOKUP(B64,'Semestre 2'!$D$3:$D$29,'Semestre 2'!$B$3:$B$29,"introuvable")</f>
        <v>SAÉ - Datavisualisation</v>
      </c>
      <c r="B64" s="4" t="s">
        <v>104</v>
      </c>
      <c r="C64" s="2" t="s">
        <v>5</v>
      </c>
      <c r="D64" s="4">
        <f>_xlfn.XLOOKUP(B64,'Semestre 2'!$D$3:$D$29,'Semestre 2'!$C$3:$C$29,"introuvable")</f>
        <v>5</v>
      </c>
      <c r="E64" s="4">
        <f>IFERROR(IFERROR(SUMIFS('Base de données'!$G:$G, 'Base de données'!A:A, BD_etu_notes_S2_C1!C64, 'Base de données'!$C:$C, BD_etu_notes_S2_C1!A64), 0) / IFERROR(SUMIFS('Base de données'!$E:$E, 'Base de données'!A:A, BD_etu_notes_S2_C1!C64, 'Base de données'!$C:$C, BD_etu_notes_S2_C1!A64), 0),0)</f>
        <v>11</v>
      </c>
    </row>
    <row r="65" spans="1:5" x14ac:dyDescent="0.2">
      <c r="A65" s="4" t="str">
        <f>_xlfn.XLOOKUP(B65,'Semestre 2'!$D$3:$D$29,'Semestre 2'!$B$3:$B$29,"introuvable")</f>
        <v>SAÉ - Datavisualisation</v>
      </c>
      <c r="B65" s="4" t="s">
        <v>104</v>
      </c>
      <c r="C65" s="2" t="s">
        <v>9</v>
      </c>
      <c r="D65" s="4">
        <f>_xlfn.XLOOKUP(B65,'Semestre 2'!$D$3:$D$29,'Semestre 2'!$C$3:$C$29,"introuvable")</f>
        <v>5</v>
      </c>
      <c r="E65" s="4">
        <f>IFERROR(IFERROR(SUMIFS('Base de données'!$G:$G, 'Base de données'!A:A, BD_etu_notes_S2_C1!C65, 'Base de données'!$C:$C, BD_etu_notes_S2_C1!A65), 0) / IFERROR(SUMIFS('Base de données'!$E:$E, 'Base de données'!A:A, BD_etu_notes_S2_C1!C65, 'Base de données'!$C:$C, BD_etu_notes_S2_C1!A65), 0),0)</f>
        <v>13.5</v>
      </c>
    </row>
    <row r="66" spans="1:5" x14ac:dyDescent="0.2">
      <c r="A66" s="4" t="str">
        <f>_xlfn.XLOOKUP(B66,'Semestre 2'!$D$3:$D$29,'Semestre 2'!$B$3:$B$29,"introuvable")</f>
        <v>SAÉ - Datavisualisation</v>
      </c>
      <c r="B66" s="4" t="s">
        <v>104</v>
      </c>
      <c r="C66" s="2" t="s">
        <v>11</v>
      </c>
      <c r="D66" s="4">
        <f>_xlfn.XLOOKUP(B66,'Semestre 2'!$D$3:$D$29,'Semestre 2'!$C$3:$C$29,"introuvable")</f>
        <v>5</v>
      </c>
      <c r="E66" s="4">
        <f>IFERROR(IFERROR(SUMIFS('Base de données'!$G:$G, 'Base de données'!A:A, BD_etu_notes_S2_C1!C66, 'Base de données'!$C:$C, BD_etu_notes_S2_C1!A66), 0) / IFERROR(SUMIFS('Base de données'!$E:$E, 'Base de données'!A:A, BD_etu_notes_S2_C1!C66, 'Base de données'!$C:$C, BD_etu_notes_S2_C1!A66), 0),0)</f>
        <v>12</v>
      </c>
    </row>
    <row r="67" spans="1:5" x14ac:dyDescent="0.2">
      <c r="A67" s="4" t="str">
        <f>_xlfn.XLOOKUP(B67,'Semestre 2'!$D$3:$D$29,'Semestre 2'!$B$3:$B$29,"introuvable")</f>
        <v>SAÉ - Datavisualisation</v>
      </c>
      <c r="B67" s="4" t="s">
        <v>104</v>
      </c>
      <c r="C67" s="2" t="s">
        <v>14</v>
      </c>
      <c r="D67" s="4">
        <f>_xlfn.XLOOKUP(B67,'Semestre 2'!$D$3:$D$29,'Semestre 2'!$C$3:$C$29,"introuvable")</f>
        <v>5</v>
      </c>
      <c r="E67" s="4">
        <f>IFERROR(IFERROR(SUMIFS('Base de données'!$G:$G, 'Base de données'!A:A, BD_etu_notes_S2_C1!C67, 'Base de données'!$C:$C, BD_etu_notes_S2_C1!A67), 0) / IFERROR(SUMIFS('Base de données'!$E:$E, 'Base de données'!A:A, BD_etu_notes_S2_C1!C67, 'Base de données'!$C:$C, BD_etu_notes_S2_C1!A67), 0),0)</f>
        <v>10</v>
      </c>
    </row>
    <row r="68" spans="1:5" x14ac:dyDescent="0.2">
      <c r="A68" s="4" t="str">
        <f>_xlfn.XLOOKUP(B68,'Semestre 2'!$D$3:$D$29,'Semestre 2'!$B$3:$B$29,"introuvable")</f>
        <v>SAÉ - Datavisualisation</v>
      </c>
      <c r="B68" s="4" t="s">
        <v>104</v>
      </c>
      <c r="C68" s="2" t="s">
        <v>16</v>
      </c>
      <c r="D68" s="4">
        <f>_xlfn.XLOOKUP(B68,'Semestre 2'!$D$3:$D$29,'Semestre 2'!$C$3:$C$29,"introuvable")</f>
        <v>5</v>
      </c>
      <c r="E68" s="4">
        <f>IFERROR(IFERROR(SUMIFS('Base de données'!$G:$G, 'Base de données'!A:A, BD_etu_notes_S2_C1!C68, 'Base de données'!$C:$C, BD_etu_notes_S2_C1!A68), 0) / IFERROR(SUMIFS('Base de données'!$E:$E, 'Base de données'!A:A, BD_etu_notes_S2_C1!C68, 'Base de données'!$C:$C, BD_etu_notes_S2_C1!A68), 0),0)</f>
        <v>14.5</v>
      </c>
    </row>
    <row r="69" spans="1:5" x14ac:dyDescent="0.2">
      <c r="A69" s="4" t="str">
        <f>_xlfn.XLOOKUP(B69,'Semestre 2'!$D$3:$D$29,'Semestre 2'!$B$3:$B$29,"introuvable")</f>
        <v>SAÉ - Datavisualisation</v>
      </c>
      <c r="B69" s="4" t="s">
        <v>104</v>
      </c>
      <c r="C69" s="2" t="s">
        <v>19</v>
      </c>
      <c r="D69" s="4">
        <f>_xlfn.XLOOKUP(B69,'Semestre 2'!$D$3:$D$29,'Semestre 2'!$C$3:$C$29,"introuvable")</f>
        <v>5</v>
      </c>
      <c r="E69" s="4">
        <f>IFERROR(IFERROR(SUMIFS('Base de données'!$G:$G, 'Base de données'!A:A, BD_etu_notes_S2_C1!C69, 'Base de données'!$C:$C, BD_etu_notes_S2_C1!A69), 0) / IFERROR(SUMIFS('Base de données'!$E:$E, 'Base de données'!A:A, BD_etu_notes_S2_C1!C69, 'Base de données'!$C:$C, BD_etu_notes_S2_C1!A69), 0),0)</f>
        <v>10.5</v>
      </c>
    </row>
    <row r="70" spans="1:5" x14ac:dyDescent="0.2">
      <c r="A70" s="4" t="str">
        <f>_xlfn.XLOOKUP(B70,'Semestre 2'!$D$3:$D$29,'Semestre 2'!$B$3:$B$29,"introuvable")</f>
        <v>SAÉ - Datavisualisation</v>
      </c>
      <c r="B70" s="4" t="s">
        <v>104</v>
      </c>
      <c r="C70" s="2" t="s">
        <v>21</v>
      </c>
      <c r="D70" s="4">
        <f>_xlfn.XLOOKUP(B70,'Semestre 2'!$D$3:$D$29,'Semestre 2'!$C$3:$C$29,"introuvable")</f>
        <v>5</v>
      </c>
      <c r="E70" s="4">
        <f>IFERROR(IFERROR(SUMIFS('Base de données'!$G:$G, 'Base de données'!A:A, BD_etu_notes_S2_C1!C70, 'Base de données'!$C:$C, BD_etu_notes_S2_C1!A70), 0) / IFERROR(SUMIFS('Base de données'!$E:$E, 'Base de données'!A:A, BD_etu_notes_S2_C1!C70, 'Base de données'!$C:$C, BD_etu_notes_S2_C1!A70), 0),0)</f>
        <v>15</v>
      </c>
    </row>
    <row r="71" spans="1:5" x14ac:dyDescent="0.2">
      <c r="A71" s="4" t="str">
        <f>_xlfn.XLOOKUP(B71,'Semestre 2'!$D$3:$D$29,'Semestre 2'!$B$3:$B$29,"introuvable")</f>
        <v>SAÉ - Datavisualisation</v>
      </c>
      <c r="B71" s="4" t="s">
        <v>104</v>
      </c>
      <c r="C71" s="2" t="s">
        <v>24</v>
      </c>
      <c r="D71" s="4">
        <f>_xlfn.XLOOKUP(B71,'Semestre 2'!$D$3:$D$29,'Semestre 2'!$C$3:$C$29,"introuvable")</f>
        <v>5</v>
      </c>
      <c r="E71" s="4">
        <f>IFERROR(IFERROR(SUMIFS('Base de données'!$G:$G, 'Base de données'!A:A, BD_etu_notes_S2_C1!C71, 'Base de données'!$C:$C, BD_etu_notes_S2_C1!A71), 0) / IFERROR(SUMIFS('Base de données'!$E:$E, 'Base de données'!A:A, BD_etu_notes_S2_C1!C71, 'Base de données'!$C:$C, BD_etu_notes_S2_C1!A71), 0),0)</f>
        <v>14.5</v>
      </c>
    </row>
    <row r="72" spans="1:5" x14ac:dyDescent="0.2">
      <c r="A72" s="4" t="str">
        <f>_xlfn.XLOOKUP(B72,'Semestre 2'!$D$3:$D$29,'Semestre 2'!$B$3:$B$29,"introuvable")</f>
        <v>SAÉ - Datavisualisation</v>
      </c>
      <c r="B72" s="4" t="s">
        <v>104</v>
      </c>
      <c r="C72" s="2" t="s">
        <v>26</v>
      </c>
      <c r="D72" s="4">
        <f>_xlfn.XLOOKUP(B72,'Semestre 2'!$D$3:$D$29,'Semestre 2'!$C$3:$C$29,"introuvable")</f>
        <v>5</v>
      </c>
      <c r="E72" s="4">
        <f>IFERROR(IFERROR(SUMIFS('Base de données'!$G:$G, 'Base de données'!A:A, BD_etu_notes_S2_C1!C72, 'Base de données'!$C:$C, BD_etu_notes_S2_C1!A72), 0) / IFERROR(SUMIFS('Base de données'!$E:$E, 'Base de données'!A:A, BD_etu_notes_S2_C1!C72, 'Base de données'!$C:$C, BD_etu_notes_S2_C1!A72), 0),0)</f>
        <v>14</v>
      </c>
    </row>
    <row r="73" spans="1:5" x14ac:dyDescent="0.2">
      <c r="A73" s="4" t="str">
        <f>_xlfn.XLOOKUP(B73,'Semestre 2'!$D$3:$D$29,'Semestre 2'!$B$3:$B$29,"introuvable")</f>
        <v>SAÉ - Datavisualisation</v>
      </c>
      <c r="B73" s="4" t="s">
        <v>104</v>
      </c>
      <c r="C73" s="2" t="s">
        <v>29</v>
      </c>
      <c r="D73" s="4">
        <f>_xlfn.XLOOKUP(B73,'Semestre 2'!$D$3:$D$29,'Semestre 2'!$C$3:$C$29,"introuvable")</f>
        <v>5</v>
      </c>
      <c r="E73" s="4">
        <f>IFERROR(IFERROR(SUMIFS('Base de données'!$G:$G, 'Base de données'!A:A, BD_etu_notes_S2_C1!C73, 'Base de données'!$C:$C, BD_etu_notes_S2_C1!A73), 0) / IFERROR(SUMIFS('Base de données'!$E:$E, 'Base de données'!A:A, BD_etu_notes_S2_C1!C73, 'Base de données'!$C:$C, BD_etu_notes_S2_C1!A73), 0),0)</f>
        <v>12.5</v>
      </c>
    </row>
    <row r="74" spans="1:5" x14ac:dyDescent="0.2">
      <c r="A74" s="4" t="str">
        <f>_xlfn.XLOOKUP(B74,'Semestre 2'!$D$3:$D$29,'Semestre 2'!$B$3:$B$29,"introuvable")</f>
        <v>SAÉ - Analyse de données, reporting et datavisualisation</v>
      </c>
      <c r="B74" s="4" t="s">
        <v>105</v>
      </c>
      <c r="C74" s="2" t="s">
        <v>5</v>
      </c>
      <c r="D74" s="4">
        <f>_xlfn.XLOOKUP(B74,'Semestre 2'!$D$3:$D$29,'Semestre 2'!$C$3:$C$29,"introuvable")</f>
        <v>20</v>
      </c>
      <c r="E74" s="4">
        <f>IFERROR(IFERROR(SUMIFS('Base de données'!$G:$G, 'Base de données'!A:A, BD_etu_notes_S2_C1!C74, 'Base de données'!$C:$C, BD_etu_notes_S2_C1!A74), 0) / IFERROR(SUMIFS('Base de données'!$E:$E, 'Base de données'!A:A, BD_etu_notes_S2_C1!C74, 'Base de données'!$C:$C, BD_etu_notes_S2_C1!A74), 0),0)</f>
        <v>17.5</v>
      </c>
    </row>
    <row r="75" spans="1:5" x14ac:dyDescent="0.2">
      <c r="A75" s="4" t="str">
        <f>_xlfn.XLOOKUP(B75,'Semestre 2'!$D$3:$D$29,'Semestre 2'!$B$3:$B$29,"introuvable")</f>
        <v>SAÉ - Analyse de données, reporting et datavisualisation</v>
      </c>
      <c r="B75" s="4" t="s">
        <v>105</v>
      </c>
      <c r="C75" s="2" t="s">
        <v>9</v>
      </c>
      <c r="D75" s="4">
        <f>_xlfn.XLOOKUP(B75,'Semestre 2'!$D$3:$D$29,'Semestre 2'!$C$3:$C$29,"introuvable")</f>
        <v>20</v>
      </c>
      <c r="E75" s="4">
        <f>IFERROR(IFERROR(SUMIFS('Base de données'!$G:$G, 'Base de données'!A:A, BD_etu_notes_S2_C1!C75, 'Base de données'!$C:$C, BD_etu_notes_S2_C1!A75), 0) / IFERROR(SUMIFS('Base de données'!$E:$E, 'Base de données'!A:A, BD_etu_notes_S2_C1!C75, 'Base de données'!$C:$C, BD_etu_notes_S2_C1!A75), 0),0)</f>
        <v>18</v>
      </c>
    </row>
    <row r="76" spans="1:5" x14ac:dyDescent="0.2">
      <c r="A76" s="4" t="str">
        <f>_xlfn.XLOOKUP(B76,'Semestre 2'!$D$3:$D$29,'Semestre 2'!$B$3:$B$29,"introuvable")</f>
        <v>SAÉ - Analyse de données, reporting et datavisualisation</v>
      </c>
      <c r="B76" s="4" t="s">
        <v>105</v>
      </c>
      <c r="C76" s="2" t="s">
        <v>11</v>
      </c>
      <c r="D76" s="4">
        <f>_xlfn.XLOOKUP(B76,'Semestre 2'!$D$3:$D$29,'Semestre 2'!$C$3:$C$29,"introuvable")</f>
        <v>20</v>
      </c>
      <c r="E76" s="4">
        <f>IFERROR(IFERROR(SUMIFS('Base de données'!$G:$G, 'Base de données'!A:A, BD_etu_notes_S2_C1!C76, 'Base de données'!$C:$C, BD_etu_notes_S2_C1!A76), 0) / IFERROR(SUMIFS('Base de données'!$E:$E, 'Base de données'!A:A, BD_etu_notes_S2_C1!C76, 'Base de données'!$C:$C, BD_etu_notes_S2_C1!A76), 0),0)</f>
        <v>19</v>
      </c>
    </row>
    <row r="77" spans="1:5" x14ac:dyDescent="0.2">
      <c r="A77" s="4" t="str">
        <f>_xlfn.XLOOKUP(B77,'Semestre 2'!$D$3:$D$29,'Semestre 2'!$B$3:$B$29,"introuvable")</f>
        <v>SAÉ - Analyse de données, reporting et datavisualisation</v>
      </c>
      <c r="B77" s="4" t="s">
        <v>105</v>
      </c>
      <c r="C77" s="2" t="s">
        <v>14</v>
      </c>
      <c r="D77" s="4">
        <f>_xlfn.XLOOKUP(B77,'Semestre 2'!$D$3:$D$29,'Semestre 2'!$C$3:$C$29,"introuvable")</f>
        <v>20</v>
      </c>
      <c r="E77" s="4">
        <f>IFERROR(IFERROR(SUMIFS('Base de données'!$G:$G, 'Base de données'!A:A, BD_etu_notes_S2_C1!C77, 'Base de données'!$C:$C, BD_etu_notes_S2_C1!A77), 0) / IFERROR(SUMIFS('Base de données'!$E:$E, 'Base de données'!A:A, BD_etu_notes_S2_C1!C77, 'Base de données'!$C:$C, BD_etu_notes_S2_C1!A77), 0),0)</f>
        <v>17</v>
      </c>
    </row>
    <row r="78" spans="1:5" x14ac:dyDescent="0.2">
      <c r="A78" s="4" t="str">
        <f>_xlfn.XLOOKUP(B78,'Semestre 2'!$D$3:$D$29,'Semestre 2'!$B$3:$B$29,"introuvable")</f>
        <v>SAÉ - Analyse de données, reporting et datavisualisation</v>
      </c>
      <c r="B78" s="4" t="s">
        <v>105</v>
      </c>
      <c r="C78" s="2" t="s">
        <v>16</v>
      </c>
      <c r="D78" s="4">
        <f>_xlfn.XLOOKUP(B78,'Semestre 2'!$D$3:$D$29,'Semestre 2'!$C$3:$C$29,"introuvable")</f>
        <v>20</v>
      </c>
      <c r="E78" s="4">
        <f>IFERROR(IFERROR(SUMIFS('Base de données'!$G:$G, 'Base de données'!A:A, BD_etu_notes_S2_C1!C78, 'Base de données'!$C:$C, BD_etu_notes_S2_C1!A78), 0) / IFERROR(SUMIFS('Base de données'!$E:$E, 'Base de données'!A:A, BD_etu_notes_S2_C1!C78, 'Base de données'!$C:$C, BD_etu_notes_S2_C1!A78), 0),0)</f>
        <v>19.5</v>
      </c>
    </row>
    <row r="79" spans="1:5" x14ac:dyDescent="0.2">
      <c r="A79" s="4" t="str">
        <f>_xlfn.XLOOKUP(B79,'Semestre 2'!$D$3:$D$29,'Semestre 2'!$B$3:$B$29,"introuvable")</f>
        <v>SAÉ - Analyse de données, reporting et datavisualisation</v>
      </c>
      <c r="B79" s="4" t="s">
        <v>105</v>
      </c>
      <c r="C79" s="2" t="s">
        <v>19</v>
      </c>
      <c r="D79" s="4">
        <f>_xlfn.XLOOKUP(B79,'Semestre 2'!$D$3:$D$29,'Semestre 2'!$C$3:$C$29,"introuvable")</f>
        <v>20</v>
      </c>
      <c r="E79" s="4">
        <f>IFERROR(IFERROR(SUMIFS('Base de données'!$G:$G, 'Base de données'!A:A, BD_etu_notes_S2_C1!C79, 'Base de données'!$C:$C, BD_etu_notes_S2_C1!A79), 0) / IFERROR(SUMIFS('Base de données'!$E:$E, 'Base de données'!A:A, BD_etu_notes_S2_C1!C79, 'Base de données'!$C:$C, BD_etu_notes_S2_C1!A79), 0),0)</f>
        <v>18.5</v>
      </c>
    </row>
    <row r="80" spans="1:5" x14ac:dyDescent="0.2">
      <c r="A80" s="4" t="str">
        <f>_xlfn.XLOOKUP(B80,'Semestre 2'!$D$3:$D$29,'Semestre 2'!$B$3:$B$29,"introuvable")</f>
        <v>SAÉ - Analyse de données, reporting et datavisualisation</v>
      </c>
      <c r="B80" s="4" t="s">
        <v>105</v>
      </c>
      <c r="C80" s="2" t="s">
        <v>21</v>
      </c>
      <c r="D80" s="4">
        <f>_xlfn.XLOOKUP(B80,'Semestre 2'!$D$3:$D$29,'Semestre 2'!$C$3:$C$29,"introuvable")</f>
        <v>20</v>
      </c>
      <c r="E80" s="4">
        <f>IFERROR(IFERROR(SUMIFS('Base de données'!$G:$G, 'Base de données'!A:A, BD_etu_notes_S2_C1!C80, 'Base de données'!$C:$C, BD_etu_notes_S2_C1!A80), 0) / IFERROR(SUMIFS('Base de données'!$E:$E, 'Base de données'!A:A, BD_etu_notes_S2_C1!C80, 'Base de données'!$C:$C, BD_etu_notes_S2_C1!A80), 0),0)</f>
        <v>16.5</v>
      </c>
    </row>
    <row r="81" spans="1:5" x14ac:dyDescent="0.2">
      <c r="A81" s="4" t="str">
        <f>_xlfn.XLOOKUP(B81,'Semestre 2'!$D$3:$D$29,'Semestre 2'!$B$3:$B$29,"introuvable")</f>
        <v>SAÉ - Analyse de données, reporting et datavisualisation</v>
      </c>
      <c r="B81" s="4" t="s">
        <v>105</v>
      </c>
      <c r="C81" s="2" t="s">
        <v>24</v>
      </c>
      <c r="D81" s="4">
        <f>_xlfn.XLOOKUP(B81,'Semestre 2'!$D$3:$D$29,'Semestre 2'!$C$3:$C$29,"introuvable")</f>
        <v>20</v>
      </c>
      <c r="E81" s="4">
        <f>IFERROR(IFERROR(SUMIFS('Base de données'!$G:$G, 'Base de données'!A:A, BD_etu_notes_S2_C1!C81, 'Base de données'!$C:$C, BD_etu_notes_S2_C1!A81), 0) / IFERROR(SUMIFS('Base de données'!$E:$E, 'Base de données'!A:A, BD_etu_notes_S2_C1!C81, 'Base de données'!$C:$C, BD_etu_notes_S2_C1!A81), 0),0)</f>
        <v>16</v>
      </c>
    </row>
    <row r="82" spans="1:5" x14ac:dyDescent="0.2">
      <c r="A82" s="4" t="str">
        <f>_xlfn.XLOOKUP(B82,'Semestre 2'!$D$3:$D$29,'Semestre 2'!$B$3:$B$29,"introuvable")</f>
        <v>SAÉ - Analyse de données, reporting et datavisualisation</v>
      </c>
      <c r="B82" s="4" t="s">
        <v>105</v>
      </c>
      <c r="C82" s="2" t="s">
        <v>26</v>
      </c>
      <c r="D82" s="4">
        <f>_xlfn.XLOOKUP(B82,'Semestre 2'!$D$3:$D$29,'Semestre 2'!$C$3:$C$29,"introuvable")</f>
        <v>20</v>
      </c>
      <c r="E82" s="4">
        <f>IFERROR(IFERROR(SUMIFS('Base de données'!$G:$G, 'Base de données'!A:A, BD_etu_notes_S2_C1!C82, 'Base de données'!$C:$C, BD_etu_notes_S2_C1!A82), 0) / IFERROR(SUMIFS('Base de données'!$E:$E, 'Base de données'!A:A, BD_etu_notes_S2_C1!C82, 'Base de données'!$C:$C, BD_etu_notes_S2_C1!A82), 0),0)</f>
        <v>17.5</v>
      </c>
    </row>
    <row r="83" spans="1:5" x14ac:dyDescent="0.2">
      <c r="A83" s="4" t="str">
        <f>_xlfn.XLOOKUP(B83,'Semestre 2'!$D$3:$D$29,'Semestre 2'!$B$3:$B$29,"introuvable")</f>
        <v>SAÉ - Analyse de données, reporting et datavisualisation</v>
      </c>
      <c r="B83" s="4" t="s">
        <v>105</v>
      </c>
      <c r="C83" s="2" t="s">
        <v>29</v>
      </c>
      <c r="D83" s="4">
        <f>_xlfn.XLOOKUP(B83,'Semestre 2'!$D$3:$D$29,'Semestre 2'!$C$3:$C$29,"introuvable")</f>
        <v>20</v>
      </c>
      <c r="E83" s="4">
        <f>IFERROR(IFERROR(SUMIFS('Base de données'!$G:$G, 'Base de données'!A:A, BD_etu_notes_S2_C1!C83, 'Base de données'!$C:$C, BD_etu_notes_S2_C1!A83), 0) / IFERROR(SUMIFS('Base de données'!$E:$E, 'Base de données'!A:A, BD_etu_notes_S2_C1!C83, 'Base de données'!$C:$C, BD_etu_notes_S2_C1!A83), 0),0)</f>
        <v>17</v>
      </c>
    </row>
    <row r="84" spans="1:5" x14ac:dyDescent="0.2">
      <c r="A84" s="4" t="str">
        <f>_xlfn.XLOOKUP(B84,'Semestre 2'!$D$3:$D$29,'Semestre 2'!$B$3:$B$29,"introuvable")</f>
        <v>SAÉ - Portfolio</v>
      </c>
      <c r="B84" s="4" t="s">
        <v>106</v>
      </c>
      <c r="C84" s="2" t="s">
        <v>5</v>
      </c>
      <c r="D84" s="4">
        <f>_xlfn.XLOOKUP(B84,'Semestre 2'!$D$3:$D$29,'Semestre 2'!$C$3:$C$29,"introuvable")</f>
        <v>5</v>
      </c>
      <c r="E84" s="4">
        <f>IFERROR(IFERROR(SUMIFS('Base de données'!$G:$G, 'Base de données'!A:A, BD_etu_notes_S2_C1!C84, 'Base de données'!$C:$C, BD_etu_notes_S2_C1!A84), 0) / IFERROR(SUMIFS('Base de données'!$E:$E, 'Base de données'!A:A, BD_etu_notes_S2_C1!C84, 'Base de données'!$C:$C, BD_etu_notes_S2_C1!A84), 0),0)</f>
        <v>13.5</v>
      </c>
    </row>
    <row r="85" spans="1:5" x14ac:dyDescent="0.2">
      <c r="A85" s="4" t="str">
        <f>_xlfn.XLOOKUP(B85,'Semestre 2'!$D$3:$D$29,'Semestre 2'!$B$3:$B$29,"introuvable")</f>
        <v>SAÉ - Portfolio</v>
      </c>
      <c r="B85" s="4" t="s">
        <v>106</v>
      </c>
      <c r="C85" s="2" t="s">
        <v>9</v>
      </c>
      <c r="D85" s="4">
        <f>_xlfn.XLOOKUP(B85,'Semestre 2'!$D$3:$D$29,'Semestre 2'!$C$3:$C$29,"introuvable")</f>
        <v>5</v>
      </c>
      <c r="E85" s="4">
        <f>IFERROR(IFERROR(SUMIFS('Base de données'!$G:$G, 'Base de données'!A:A, BD_etu_notes_S2_C1!C85, 'Base de données'!$C:$C, BD_etu_notes_S2_C1!A85), 0) / IFERROR(SUMIFS('Base de données'!$E:$E, 'Base de données'!A:A, BD_etu_notes_S2_C1!C85, 'Base de données'!$C:$C, BD_etu_notes_S2_C1!A85), 0),0)</f>
        <v>11</v>
      </c>
    </row>
    <row r="86" spans="1:5" x14ac:dyDescent="0.2">
      <c r="A86" s="4" t="str">
        <f>_xlfn.XLOOKUP(B86,'Semestre 2'!$D$3:$D$29,'Semestre 2'!$B$3:$B$29,"introuvable")</f>
        <v>SAÉ - Portfolio</v>
      </c>
      <c r="B86" s="4" t="s">
        <v>106</v>
      </c>
      <c r="C86" s="2" t="s">
        <v>11</v>
      </c>
      <c r="D86" s="4">
        <f>_xlfn.XLOOKUP(B86,'Semestre 2'!$D$3:$D$29,'Semestre 2'!$C$3:$C$29,"introuvable")</f>
        <v>5</v>
      </c>
      <c r="E86" s="4">
        <f>IFERROR(IFERROR(SUMIFS('Base de données'!$G:$G, 'Base de données'!A:A, BD_etu_notes_S2_C1!C86, 'Base de données'!$C:$C, BD_etu_notes_S2_C1!A86), 0) / IFERROR(SUMIFS('Base de données'!$E:$E, 'Base de données'!A:A, BD_etu_notes_S2_C1!C86, 'Base de données'!$C:$C, BD_etu_notes_S2_C1!A86), 0),0)</f>
        <v>12.5</v>
      </c>
    </row>
    <row r="87" spans="1:5" x14ac:dyDescent="0.2">
      <c r="A87" s="4" t="str">
        <f>_xlfn.XLOOKUP(B87,'Semestre 2'!$D$3:$D$29,'Semestre 2'!$B$3:$B$29,"introuvable")</f>
        <v>SAÉ - Portfolio</v>
      </c>
      <c r="B87" s="4" t="s">
        <v>106</v>
      </c>
      <c r="C87" s="2" t="s">
        <v>14</v>
      </c>
      <c r="D87" s="4">
        <f>_xlfn.XLOOKUP(B87,'Semestre 2'!$D$3:$D$29,'Semestre 2'!$C$3:$C$29,"introuvable")</f>
        <v>5</v>
      </c>
      <c r="E87" s="4">
        <f>IFERROR(IFERROR(SUMIFS('Base de données'!$G:$G, 'Base de données'!A:A, BD_etu_notes_S2_C1!C87, 'Base de données'!$C:$C, BD_etu_notes_S2_C1!A87), 0) / IFERROR(SUMIFS('Base de données'!$E:$E, 'Base de données'!A:A, BD_etu_notes_S2_C1!C87, 'Base de données'!$C:$C, BD_etu_notes_S2_C1!A87), 0),0)</f>
        <v>16</v>
      </c>
    </row>
    <row r="88" spans="1:5" x14ac:dyDescent="0.2">
      <c r="A88" s="4" t="str">
        <f>_xlfn.XLOOKUP(B88,'Semestre 2'!$D$3:$D$29,'Semestre 2'!$B$3:$B$29,"introuvable")</f>
        <v>SAÉ - Portfolio</v>
      </c>
      <c r="B88" s="4" t="s">
        <v>106</v>
      </c>
      <c r="C88" s="2" t="s">
        <v>16</v>
      </c>
      <c r="D88" s="4">
        <f>_xlfn.XLOOKUP(B88,'Semestre 2'!$D$3:$D$29,'Semestre 2'!$C$3:$C$29,"introuvable")</f>
        <v>5</v>
      </c>
      <c r="E88" s="4">
        <f>IFERROR(IFERROR(SUMIFS('Base de données'!$G:$G, 'Base de données'!A:A, BD_etu_notes_S2_C1!C88, 'Base de données'!$C:$C, BD_etu_notes_S2_C1!A88), 0) / IFERROR(SUMIFS('Base de données'!$E:$E, 'Base de données'!A:A, BD_etu_notes_S2_C1!C88, 'Base de données'!$C:$C, BD_etu_notes_S2_C1!A88), 0),0)</f>
        <v>13</v>
      </c>
    </row>
    <row r="89" spans="1:5" x14ac:dyDescent="0.2">
      <c r="A89" s="4" t="str">
        <f>_xlfn.XLOOKUP(B89,'Semestre 2'!$D$3:$D$29,'Semestre 2'!$B$3:$B$29,"introuvable")</f>
        <v>SAÉ - Portfolio</v>
      </c>
      <c r="B89" s="4" t="s">
        <v>106</v>
      </c>
      <c r="C89" s="2" t="s">
        <v>19</v>
      </c>
      <c r="D89" s="4">
        <f>_xlfn.XLOOKUP(B89,'Semestre 2'!$D$3:$D$29,'Semestre 2'!$C$3:$C$29,"introuvable")</f>
        <v>5</v>
      </c>
      <c r="E89" s="4">
        <f>IFERROR(IFERROR(SUMIFS('Base de données'!$G:$G, 'Base de données'!A:A, BD_etu_notes_S2_C1!C89, 'Base de données'!$C:$C, BD_etu_notes_S2_C1!A89), 0) / IFERROR(SUMIFS('Base de données'!$E:$E, 'Base de données'!A:A, BD_etu_notes_S2_C1!C89, 'Base de données'!$C:$C, BD_etu_notes_S2_C1!A89), 0),0)</f>
        <v>16.5</v>
      </c>
    </row>
    <row r="90" spans="1:5" x14ac:dyDescent="0.2">
      <c r="A90" s="4" t="str">
        <f>_xlfn.XLOOKUP(B90,'Semestre 2'!$D$3:$D$29,'Semestre 2'!$B$3:$B$29,"introuvable")</f>
        <v>SAÉ - Portfolio</v>
      </c>
      <c r="B90" s="4" t="s">
        <v>106</v>
      </c>
      <c r="C90" s="2" t="s">
        <v>21</v>
      </c>
      <c r="D90" s="4">
        <f>_xlfn.XLOOKUP(B90,'Semestre 2'!$D$3:$D$29,'Semestre 2'!$C$3:$C$29,"introuvable")</f>
        <v>5</v>
      </c>
      <c r="E90" s="4">
        <f>IFERROR(IFERROR(SUMIFS('Base de données'!$G:$G, 'Base de données'!A:A, BD_etu_notes_S2_C1!C90, 'Base de données'!$C:$C, BD_etu_notes_S2_C1!A90), 0) / IFERROR(SUMIFS('Base de données'!$E:$E, 'Base de données'!A:A, BD_etu_notes_S2_C1!C90, 'Base de données'!$C:$C, BD_etu_notes_S2_C1!A90), 0),0)</f>
        <v>13</v>
      </c>
    </row>
    <row r="91" spans="1:5" x14ac:dyDescent="0.2">
      <c r="A91" s="4" t="str">
        <f>_xlfn.XLOOKUP(B91,'Semestre 2'!$D$3:$D$29,'Semestre 2'!$B$3:$B$29,"introuvable")</f>
        <v>SAÉ - Portfolio</v>
      </c>
      <c r="B91" s="4" t="s">
        <v>106</v>
      </c>
      <c r="C91" s="2" t="s">
        <v>24</v>
      </c>
      <c r="D91" s="4">
        <f>_xlfn.XLOOKUP(B91,'Semestre 2'!$D$3:$D$29,'Semestre 2'!$C$3:$C$29,"introuvable")</f>
        <v>5</v>
      </c>
      <c r="E91" s="4">
        <f>IFERROR(IFERROR(SUMIFS('Base de données'!$G:$G, 'Base de données'!A:A, BD_etu_notes_S2_C1!C91, 'Base de données'!$C:$C, BD_etu_notes_S2_C1!A91), 0) / IFERROR(SUMIFS('Base de données'!$E:$E, 'Base de données'!A:A, BD_etu_notes_S2_C1!C91, 'Base de données'!$C:$C, BD_etu_notes_S2_C1!A91), 0),0)</f>
        <v>15.5</v>
      </c>
    </row>
    <row r="92" spans="1:5" x14ac:dyDescent="0.2">
      <c r="A92" s="4" t="str">
        <f>_xlfn.XLOOKUP(B92,'Semestre 2'!$D$3:$D$29,'Semestre 2'!$B$3:$B$29,"introuvable")</f>
        <v>SAÉ - Portfolio</v>
      </c>
      <c r="B92" s="4" t="s">
        <v>106</v>
      </c>
      <c r="C92" s="2" t="s">
        <v>26</v>
      </c>
      <c r="D92" s="4">
        <f>_xlfn.XLOOKUP(B92,'Semestre 2'!$D$3:$D$29,'Semestre 2'!$C$3:$C$29,"introuvable")</f>
        <v>5</v>
      </c>
      <c r="E92" s="4">
        <f>IFERROR(IFERROR(SUMIFS('Base de données'!$G:$G, 'Base de données'!A:A, BD_etu_notes_S2_C1!C92, 'Base de données'!$C:$C, BD_etu_notes_S2_C1!A92), 0) / IFERROR(SUMIFS('Base de données'!$E:$E, 'Base de données'!A:A, BD_etu_notes_S2_C1!C92, 'Base de données'!$C:$C, BD_etu_notes_S2_C1!A92), 0),0)</f>
        <v>12.5</v>
      </c>
    </row>
    <row r="93" spans="1:5" x14ac:dyDescent="0.2">
      <c r="A93" s="4" t="str">
        <f>_xlfn.XLOOKUP(B93,'Semestre 2'!$D$3:$D$29,'Semestre 2'!$B$3:$B$29,"introuvable")</f>
        <v>SAÉ - Portfolio</v>
      </c>
      <c r="B93" s="4" t="s">
        <v>106</v>
      </c>
      <c r="C93" s="2" t="s">
        <v>29</v>
      </c>
      <c r="D93" s="4">
        <f>_xlfn.XLOOKUP(B93,'Semestre 2'!$D$3:$D$29,'Semestre 2'!$C$3:$C$29,"introuvable")</f>
        <v>5</v>
      </c>
      <c r="E93" s="4">
        <f>IFERROR(IFERROR(SUMIFS('Base de données'!$G:$G, 'Base de données'!A:A, BD_etu_notes_S2_C1!C93, 'Base de données'!$C:$C, BD_etu_notes_S2_C1!A93), 0) / IFERROR(SUMIFS('Base de données'!$E:$E, 'Base de données'!A:A, BD_etu_notes_S2_C1!C93, 'Base de données'!$C:$C, BD_etu_notes_S2_C1!A93), 0),0)</f>
        <v>16</v>
      </c>
    </row>
    <row r="94" spans="1:5" x14ac:dyDescent="0.2">
      <c r="A94" s="4" t="s">
        <v>54</v>
      </c>
      <c r="B94" s="4" t="s">
        <v>99</v>
      </c>
      <c r="C94" s="4" t="s">
        <v>34</v>
      </c>
      <c r="D94" s="4">
        <v>10</v>
      </c>
      <c r="E94" s="4">
        <f>IFERROR(IFERROR(SUMIFS('Base de données'!$G:$G, 'Base de données'!A:A, BD_etu_notes_S2_C1!C94, 'Base de données'!$C:$C, BD_etu_notes_S2_C1!A94), 0) / IFERROR(SUMIFS('Base de données'!$E:$E, 'Base de données'!A:A, BD_etu_notes_S2_C1!C94, 'Base de données'!$C:$C, BD_etu_notes_S2_C1!A94), 0),0)</f>
        <v>0</v>
      </c>
    </row>
    <row r="95" spans="1:5" x14ac:dyDescent="0.2">
      <c r="A95" s="4" t="s">
        <v>48</v>
      </c>
      <c r="B95" s="4" t="s">
        <v>100</v>
      </c>
      <c r="C95" s="4" t="s">
        <v>34</v>
      </c>
      <c r="D95" s="4">
        <v>15</v>
      </c>
      <c r="E95" s="4">
        <f>IFERROR(IFERROR(SUMIFS('Base de données'!$G:$G, 'Base de données'!A:A, BD_etu_notes_S2_C1!C95, 'Base de données'!$C:$C, BD_etu_notes_S2_C1!A95), 0) / IFERROR(SUMIFS('Base de données'!$E:$E, 'Base de données'!A:A, BD_etu_notes_S2_C1!C95, 'Base de données'!$C:$C, BD_etu_notes_S2_C1!A95), 0),0)</f>
        <v>0</v>
      </c>
    </row>
    <row r="96" spans="1:5" x14ac:dyDescent="0.2">
      <c r="A96" s="4" t="s">
        <v>50</v>
      </c>
      <c r="B96" s="4" t="s">
        <v>101</v>
      </c>
      <c r="C96" s="4" t="s">
        <v>34</v>
      </c>
      <c r="D96" s="4">
        <v>15</v>
      </c>
      <c r="E96" s="4">
        <f>IFERROR(IFERROR(SUMIFS('Base de données'!$G:$G, 'Base de données'!A:A, BD_etu_notes_S2_C1!C96, 'Base de données'!$C:$C, BD_etu_notes_S2_C1!A96), 0) / IFERROR(SUMIFS('Base de données'!$E:$E, 'Base de données'!A:A, BD_etu_notes_S2_C1!C96, 'Base de données'!$C:$C, BD_etu_notes_S2_C1!A96), 0),0)</f>
        <v>0</v>
      </c>
    </row>
    <row r="97" spans="1:5" x14ac:dyDescent="0.2">
      <c r="A97" s="4" t="s">
        <v>53</v>
      </c>
      <c r="B97" s="4" t="s">
        <v>102</v>
      </c>
      <c r="C97" s="4" t="s">
        <v>34</v>
      </c>
      <c r="D97" s="4">
        <v>15</v>
      </c>
      <c r="E97" s="4">
        <f>IFERROR(IFERROR(SUMIFS('Base de données'!$G:$G, 'Base de données'!A:A, BD_etu_notes_S2_C1!C97, 'Base de données'!$C:$C, BD_etu_notes_S2_C1!A97), 0) / IFERROR(SUMIFS('Base de données'!$E:$E, 'Base de données'!A:A, BD_etu_notes_S2_C1!C97, 'Base de données'!$C:$C, BD_etu_notes_S2_C1!A97), 0),0)</f>
        <v>0</v>
      </c>
    </row>
    <row r="98" spans="1:5" x14ac:dyDescent="0.2">
      <c r="A98" s="4" t="s">
        <v>52</v>
      </c>
      <c r="B98" s="4" t="s">
        <v>71</v>
      </c>
      <c r="C98" s="4" t="s">
        <v>34</v>
      </c>
      <c r="D98" s="4">
        <v>5</v>
      </c>
      <c r="E98" s="4">
        <f>IFERROR(IFERROR(SUMIFS('Base de données'!$G:$G, 'Base de données'!A:A, BD_etu_notes_S2_C1!C98, 'Base de données'!$C:$C, BD_etu_notes_S2_C1!A98), 0) / IFERROR(SUMIFS('Base de données'!$E:$E, 'Base de données'!A:A, BD_etu_notes_S2_C1!C98, 'Base de données'!$C:$C, BD_etu_notes_S2_C1!A98), 0),0)</f>
        <v>0</v>
      </c>
    </row>
    <row r="99" spans="1:5" x14ac:dyDescent="0.2">
      <c r="A99" s="4" t="s">
        <v>56</v>
      </c>
      <c r="B99" s="4" t="s">
        <v>103</v>
      </c>
      <c r="C99" s="4" t="s">
        <v>34</v>
      </c>
      <c r="D99" s="4">
        <v>10</v>
      </c>
      <c r="E99" s="4">
        <f>IFERROR(IFERROR(SUMIFS('Base de données'!$G:$G, 'Base de données'!A:A, BD_etu_notes_S2_C1!C99, 'Base de données'!$C:$C, BD_etu_notes_S2_C1!A99), 0) / IFERROR(SUMIFS('Base de données'!$E:$E, 'Base de données'!A:A, BD_etu_notes_S2_C1!C99, 'Base de données'!$C:$C, BD_etu_notes_S2_C1!A99), 0),0)</f>
        <v>0</v>
      </c>
    </row>
    <row r="100" spans="1:5" x14ac:dyDescent="0.2">
      <c r="A100" s="4" t="s">
        <v>57</v>
      </c>
      <c r="B100" s="4" t="s">
        <v>104</v>
      </c>
      <c r="C100" s="4" t="s">
        <v>34</v>
      </c>
      <c r="D100" s="4">
        <v>5</v>
      </c>
      <c r="E100" s="4">
        <f>IFERROR(IFERROR(SUMIFS('Base de données'!$G:$G, 'Base de données'!A:A, BD_etu_notes_S2_C1!C100, 'Base de données'!$C:$C, BD_etu_notes_S2_C1!A100), 0) / IFERROR(SUMIFS('Base de données'!$E:$E, 'Base de données'!A:A, BD_etu_notes_S2_C1!C100, 'Base de données'!$C:$C, BD_etu_notes_S2_C1!A100), 0),0)</f>
        <v>0</v>
      </c>
    </row>
    <row r="101" spans="1:5" x14ac:dyDescent="0.2">
      <c r="A101" s="4" t="s">
        <v>55</v>
      </c>
      <c r="B101" s="4" t="s">
        <v>105</v>
      </c>
      <c r="C101" s="4" t="s">
        <v>34</v>
      </c>
      <c r="D101" s="4">
        <v>20</v>
      </c>
      <c r="E101" s="4">
        <f>IFERROR(IFERROR(SUMIFS('Base de données'!$G:$G, 'Base de données'!A:A, BD_etu_notes_S2_C1!C101, 'Base de données'!$C:$C, BD_etu_notes_S2_C1!A101), 0) / IFERROR(SUMIFS('Base de données'!$E:$E, 'Base de données'!A:A, BD_etu_notes_S2_C1!C101, 'Base de données'!$C:$C, BD_etu_notes_S2_C1!A101), 0),0)</f>
        <v>0</v>
      </c>
    </row>
    <row r="102" spans="1:5" x14ac:dyDescent="0.2">
      <c r="A102" s="4" t="s">
        <v>58</v>
      </c>
      <c r="B102" s="4" t="s">
        <v>106</v>
      </c>
      <c r="C102" s="4" t="s">
        <v>34</v>
      </c>
      <c r="D102" s="4">
        <v>5</v>
      </c>
      <c r="E102" s="4">
        <f>IFERROR(IFERROR(SUMIFS('Base de données'!$G:$G, 'Base de données'!A:A, BD_etu_notes_S2_C1!C102, 'Base de données'!$C:$C, BD_etu_notes_S2_C1!A102), 0) / IFERROR(SUMIFS('Base de données'!$E:$E, 'Base de données'!A:A, BD_etu_notes_S2_C1!C102, 'Base de données'!$C:$C, BD_etu_notes_S2_C1!A102), 0),0)</f>
        <v>0</v>
      </c>
    </row>
  </sheetData>
  <mergeCells count="1">
    <mergeCell ref="A1:F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C379B-47EA-4EC0-9454-5F3704F776F5}">
  <sheetPr codeName="Feuil11"/>
  <dimension ref="A1:E113"/>
  <sheetViews>
    <sheetView workbookViewId="0">
      <selection activeCell="N21" sqref="N21"/>
    </sheetView>
  </sheetViews>
  <sheetFormatPr baseColWidth="10" defaultColWidth="11.5" defaultRowHeight="15" x14ac:dyDescent="0.2"/>
  <cols>
    <col min="1" max="1" width="51.6640625" style="4" bestFit="1" customWidth="1"/>
    <col min="2" max="2" width="11.1640625" style="4" bestFit="1" customWidth="1"/>
    <col min="3" max="3" width="10.6640625" style="4" bestFit="1" customWidth="1"/>
    <col min="4" max="4" width="5.5" style="4" bestFit="1" customWidth="1"/>
    <col min="5" max="5" width="7.6640625" style="4" bestFit="1" customWidth="1"/>
  </cols>
  <sheetData>
    <row r="1" spans="1:5" x14ac:dyDescent="0.2">
      <c r="A1" s="5" t="s">
        <v>160</v>
      </c>
      <c r="B1"/>
      <c r="C1"/>
      <c r="D1"/>
      <c r="E1"/>
    </row>
    <row r="2" spans="1:5" x14ac:dyDescent="0.2">
      <c r="A2"/>
      <c r="B2"/>
      <c r="C2"/>
      <c r="D2"/>
      <c r="E2"/>
    </row>
    <row r="3" spans="1:5" x14ac:dyDescent="0.2">
      <c r="A3" s="8" t="s">
        <v>155</v>
      </c>
      <c r="B3" s="8" t="s">
        <v>156</v>
      </c>
      <c r="C3" s="8" t="s">
        <v>157</v>
      </c>
      <c r="D3" s="8" t="s">
        <v>97</v>
      </c>
      <c r="E3" s="8" t="s">
        <v>142</v>
      </c>
    </row>
    <row r="4" spans="1:5" x14ac:dyDescent="0.2">
      <c r="A4" s="4" t="s">
        <v>51</v>
      </c>
      <c r="B4" s="4" t="s">
        <v>71</v>
      </c>
      <c r="C4" s="2" t="s">
        <v>5</v>
      </c>
      <c r="D4" s="4">
        <v>5</v>
      </c>
      <c r="E4" s="4">
        <f>IFERROR(IFERROR(SUMIFS('Base de données'!$G:$G, 'Base de données'!A:A, BD_etu_notes_S2_C2!C4, 'Base de données'!$C:$C, BD_etu_notes_S2_C2!A4), 0) / IFERROR(SUMIFS('Base de données'!$E:$E, 'Base de données'!A:A, BD_etu_notes_S2_C2!C4, 'Base de données'!$C:$C, BD_etu_notes_S2_C2!A4), 0),0)</f>
        <v>13.5</v>
      </c>
    </row>
    <row r="5" spans="1:5" x14ac:dyDescent="0.2">
      <c r="A5" s="4" t="s">
        <v>51</v>
      </c>
      <c r="B5" s="4" t="s">
        <v>71</v>
      </c>
      <c r="C5" s="2" t="s">
        <v>9</v>
      </c>
      <c r="D5" s="4">
        <v>5</v>
      </c>
      <c r="E5" s="4">
        <f>IFERROR(IFERROR(SUMIFS('Base de données'!$G:$G, 'Base de données'!A:A, BD_etu_notes_S2_C2!C5, 'Base de données'!$C:$C, BD_etu_notes_S2_C2!A5), 0) / IFERROR(SUMIFS('Base de données'!$E:$E, 'Base de données'!A:A, BD_etu_notes_S2_C2!C5, 'Base de données'!$C:$C, BD_etu_notes_S2_C2!A5), 0),0)</f>
        <v>15</v>
      </c>
    </row>
    <row r="6" spans="1:5" x14ac:dyDescent="0.2">
      <c r="A6" s="4" t="s">
        <v>51</v>
      </c>
      <c r="B6" s="4" t="s">
        <v>71</v>
      </c>
      <c r="C6" s="2" t="s">
        <v>11</v>
      </c>
      <c r="D6" s="4">
        <v>5</v>
      </c>
      <c r="E6" s="4">
        <f>IFERROR(IFERROR(SUMIFS('Base de données'!$G:$G, 'Base de données'!A:A, BD_etu_notes_S2_C2!C6, 'Base de données'!$C:$C, BD_etu_notes_S2_C2!A6), 0) / IFERROR(SUMIFS('Base de données'!$E:$E, 'Base de données'!A:A, BD_etu_notes_S2_C2!C6, 'Base de données'!$C:$C, BD_etu_notes_S2_C2!A6), 0),0)</f>
        <v>12</v>
      </c>
    </row>
    <row r="7" spans="1:5" x14ac:dyDescent="0.2">
      <c r="A7" s="4" t="s">
        <v>51</v>
      </c>
      <c r="B7" s="4" t="s">
        <v>71</v>
      </c>
      <c r="C7" s="2" t="s">
        <v>14</v>
      </c>
      <c r="D7" s="4">
        <v>5</v>
      </c>
      <c r="E7" s="4">
        <f>IFERROR(IFERROR(SUMIFS('Base de données'!$G:$G, 'Base de données'!A:A, BD_etu_notes_S2_C2!C7, 'Base de données'!$C:$C, BD_etu_notes_S2_C2!A7), 0) / IFERROR(SUMIFS('Base de données'!$E:$E, 'Base de données'!A:A, BD_etu_notes_S2_C2!C7, 'Base de données'!$C:$C, BD_etu_notes_S2_C2!A7), 0),0)</f>
        <v>14.5</v>
      </c>
    </row>
    <row r="8" spans="1:5" x14ac:dyDescent="0.2">
      <c r="A8" s="4" t="s">
        <v>51</v>
      </c>
      <c r="B8" s="4" t="s">
        <v>71</v>
      </c>
      <c r="C8" s="2" t="s">
        <v>16</v>
      </c>
      <c r="D8" s="4">
        <v>5</v>
      </c>
      <c r="E8" s="4">
        <f>IFERROR(IFERROR(SUMIFS('Base de données'!$G:$G, 'Base de données'!A:A, BD_etu_notes_S2_C2!C8, 'Base de données'!$C:$C, BD_etu_notes_S2_C2!A8), 0) / IFERROR(SUMIFS('Base de données'!$E:$E, 'Base de données'!A:A, BD_etu_notes_S2_C2!C8, 'Base de données'!$C:$C, BD_etu_notes_S2_C2!A8), 0),0)</f>
        <v>12.5</v>
      </c>
    </row>
    <row r="9" spans="1:5" x14ac:dyDescent="0.2">
      <c r="A9" s="4" t="s">
        <v>51</v>
      </c>
      <c r="B9" s="4" t="s">
        <v>71</v>
      </c>
      <c r="C9" s="2" t="s">
        <v>19</v>
      </c>
      <c r="D9" s="4">
        <v>5</v>
      </c>
      <c r="E9" s="4">
        <f>IFERROR(IFERROR(SUMIFS('Base de données'!$G:$G, 'Base de données'!A:A, BD_etu_notes_S2_C2!C9, 'Base de données'!$C:$C, BD_etu_notes_S2_C2!A9), 0) / IFERROR(SUMIFS('Base de données'!$E:$E, 'Base de données'!A:A, BD_etu_notes_S2_C2!C9, 'Base de données'!$C:$C, BD_etu_notes_S2_C2!A9), 0),0)</f>
        <v>11.5</v>
      </c>
    </row>
    <row r="10" spans="1:5" x14ac:dyDescent="0.2">
      <c r="A10" s="4" t="s">
        <v>51</v>
      </c>
      <c r="B10" s="4" t="s">
        <v>71</v>
      </c>
      <c r="C10" s="2" t="s">
        <v>21</v>
      </c>
      <c r="D10" s="4">
        <v>5</v>
      </c>
      <c r="E10" s="4">
        <f>IFERROR(IFERROR(SUMIFS('Base de données'!$G:$G, 'Base de données'!A:A, BD_etu_notes_S2_C2!C10, 'Base de données'!$C:$C, BD_etu_notes_S2_C2!A10), 0) / IFERROR(SUMIFS('Base de données'!$E:$E, 'Base de données'!A:A, BD_etu_notes_S2_C2!C10, 'Base de données'!$C:$C, BD_etu_notes_S2_C2!A10), 0),0)</f>
        <v>16</v>
      </c>
    </row>
    <row r="11" spans="1:5" x14ac:dyDescent="0.2">
      <c r="A11" s="4" t="s">
        <v>51</v>
      </c>
      <c r="B11" s="4" t="s">
        <v>71</v>
      </c>
      <c r="C11" s="2" t="s">
        <v>24</v>
      </c>
      <c r="D11" s="4">
        <v>5</v>
      </c>
      <c r="E11" s="4">
        <f>IFERROR(IFERROR(SUMIFS('Base de données'!$G:$G, 'Base de données'!A:A, BD_etu_notes_S2_C2!C11, 'Base de données'!$C:$C, BD_etu_notes_S2_C2!A11), 0) / IFERROR(SUMIFS('Base de données'!$E:$E, 'Base de données'!A:A, BD_etu_notes_S2_C2!C11, 'Base de données'!$C:$C, BD_etu_notes_S2_C2!A11), 0),0)</f>
        <v>14</v>
      </c>
    </row>
    <row r="12" spans="1:5" x14ac:dyDescent="0.2">
      <c r="A12" s="4" t="s">
        <v>51</v>
      </c>
      <c r="B12" s="4" t="s">
        <v>71</v>
      </c>
      <c r="C12" s="2" t="s">
        <v>26</v>
      </c>
      <c r="D12" s="4">
        <v>5</v>
      </c>
      <c r="E12" s="4">
        <f>IFERROR(IFERROR(SUMIFS('Base de données'!$G:$G, 'Base de données'!A:A, BD_etu_notes_S2_C2!C12, 'Base de données'!$C:$C, BD_etu_notes_S2_C2!A12), 0) / IFERROR(SUMIFS('Base de données'!$E:$E, 'Base de données'!A:A, BD_etu_notes_S2_C2!C12, 'Base de données'!$C:$C, BD_etu_notes_S2_C2!A12), 0),0)</f>
        <v>10.5</v>
      </c>
    </row>
    <row r="13" spans="1:5" x14ac:dyDescent="0.2">
      <c r="A13" s="4" t="s">
        <v>51</v>
      </c>
      <c r="B13" s="4" t="s">
        <v>71</v>
      </c>
      <c r="C13" s="2" t="s">
        <v>29</v>
      </c>
      <c r="D13" s="4">
        <v>5</v>
      </c>
      <c r="E13" s="4">
        <f>IFERROR(IFERROR(SUMIFS('Base de données'!$G:$G, 'Base de données'!A:A, BD_etu_notes_S2_C2!C13, 'Base de données'!$C:$C, BD_etu_notes_S2_C2!A13), 0) / IFERROR(SUMIFS('Base de données'!$E:$E, 'Base de données'!A:A, BD_etu_notes_S2_C2!C13, 'Base de données'!$C:$C, BD_etu_notes_S2_C2!A13), 0),0)</f>
        <v>14</v>
      </c>
    </row>
    <row r="14" spans="1:5" x14ac:dyDescent="0.2">
      <c r="A14" s="4" t="str">
        <f>_xlfn.XLOOKUP(B14,'Semestre 2'!$D$3:$D$29,'Semestre 2'!$B$3:$B$29,"introuvable")</f>
        <v>Statistique descriptive 2</v>
      </c>
      <c r="B14" s="4" t="s">
        <v>109</v>
      </c>
      <c r="C14" s="2" t="s">
        <v>5</v>
      </c>
      <c r="D14" s="4">
        <f>_xlfn.XLOOKUP(B14,'Semestre 2'!$D$3:$D$29,'Semestre 2'!$C$3:$C$29,"introuvable")</f>
        <v>10</v>
      </c>
      <c r="E14" s="4">
        <f>IFERROR(IFERROR(SUMIFS('Base de données'!$G:$G, 'Base de données'!A:A, BD_etu_notes_S2_C2!C14, 'Base de données'!$C:$C, BD_etu_notes_S2_C2!A14), 0) / IFERROR(SUMIFS('Base de données'!$E:$E, 'Base de données'!A:A, BD_etu_notes_S2_C2!C14, 'Base de données'!$C:$C, BD_etu_notes_S2_C2!A14), 0),0)</f>
        <v>0</v>
      </c>
    </row>
    <row r="15" spans="1:5" x14ac:dyDescent="0.2">
      <c r="A15" s="4" t="str">
        <f>_xlfn.XLOOKUP(B15,'Semestre 2'!$D$3:$D$29,'Semestre 2'!$B$3:$B$29,"introuvable")</f>
        <v>Statistique descriptive 2</v>
      </c>
      <c r="B15" s="4" t="s">
        <v>109</v>
      </c>
      <c r="C15" s="2" t="s">
        <v>9</v>
      </c>
      <c r="D15" s="4">
        <f>_xlfn.XLOOKUP(B15,'Semestre 2'!$D$3:$D$29,'Semestre 2'!$C$3:$C$29,"introuvable")</f>
        <v>10</v>
      </c>
      <c r="E15" s="4">
        <f>IFERROR(IFERROR(SUMIFS('Base de données'!$G:$G, 'Base de données'!A:A, BD_etu_notes_S2_C2!C15, 'Base de données'!$C:$C, BD_etu_notes_S2_C2!A15), 0) / IFERROR(SUMIFS('Base de données'!$E:$E, 'Base de données'!A:A, BD_etu_notes_S2_C2!C15, 'Base de données'!$C:$C, BD_etu_notes_S2_C2!A15), 0),0)</f>
        <v>0</v>
      </c>
    </row>
    <row r="16" spans="1:5" x14ac:dyDescent="0.2">
      <c r="A16" s="4" t="str">
        <f>_xlfn.XLOOKUP(B16,'Semestre 2'!$D$3:$D$29,'Semestre 2'!$B$3:$B$29,"introuvable")</f>
        <v>Statistique descriptive 2</v>
      </c>
      <c r="B16" s="4" t="s">
        <v>109</v>
      </c>
      <c r="C16" s="2" t="s">
        <v>11</v>
      </c>
      <c r="D16" s="4">
        <f>_xlfn.XLOOKUP(B16,'Semestre 2'!$D$3:$D$29,'Semestre 2'!$C$3:$C$29,"introuvable")</f>
        <v>10</v>
      </c>
      <c r="E16" s="4">
        <f>IFERROR(IFERROR(SUMIFS('Base de données'!$G:$G, 'Base de données'!A:A, BD_etu_notes_S2_C2!C16, 'Base de données'!$C:$C, BD_etu_notes_S2_C2!A16), 0) / IFERROR(SUMIFS('Base de données'!$E:$E, 'Base de données'!A:A, BD_etu_notes_S2_C2!C16, 'Base de données'!$C:$C, BD_etu_notes_S2_C2!A16), 0),0)</f>
        <v>0</v>
      </c>
    </row>
    <row r="17" spans="1:5" x14ac:dyDescent="0.2">
      <c r="A17" s="4" t="str">
        <f>_xlfn.XLOOKUP(B17,'Semestre 2'!$D$3:$D$29,'Semestre 2'!$B$3:$B$29,"introuvable")</f>
        <v>Statistique descriptive 2</v>
      </c>
      <c r="B17" s="4" t="s">
        <v>109</v>
      </c>
      <c r="C17" s="2" t="s">
        <v>14</v>
      </c>
      <c r="D17" s="4">
        <f>_xlfn.XLOOKUP(B17,'Semestre 2'!$D$3:$D$29,'Semestre 2'!$C$3:$C$29,"introuvable")</f>
        <v>10</v>
      </c>
      <c r="E17" s="4">
        <f>IFERROR(IFERROR(SUMIFS('Base de données'!$G:$G, 'Base de données'!A:A, BD_etu_notes_S2_C2!C17, 'Base de données'!$C:$C, BD_etu_notes_S2_C2!A17), 0) / IFERROR(SUMIFS('Base de données'!$E:$E, 'Base de données'!A:A, BD_etu_notes_S2_C2!C17, 'Base de données'!$C:$C, BD_etu_notes_S2_C2!A17), 0),0)</f>
        <v>0</v>
      </c>
    </row>
    <row r="18" spans="1:5" x14ac:dyDescent="0.2">
      <c r="A18" s="4" t="str">
        <f>_xlfn.XLOOKUP(B18,'Semestre 2'!$D$3:$D$29,'Semestre 2'!$B$3:$B$29,"introuvable")</f>
        <v>Statistique descriptive 2</v>
      </c>
      <c r="B18" s="4" t="s">
        <v>109</v>
      </c>
      <c r="C18" s="2" t="s">
        <v>16</v>
      </c>
      <c r="D18" s="4">
        <f>_xlfn.XLOOKUP(B18,'Semestre 2'!$D$3:$D$29,'Semestre 2'!$C$3:$C$29,"introuvable")</f>
        <v>10</v>
      </c>
      <c r="E18" s="4">
        <f>IFERROR(IFERROR(SUMIFS('Base de données'!$G:$G, 'Base de données'!A:A, BD_etu_notes_S2_C2!C18, 'Base de données'!$C:$C, BD_etu_notes_S2_C2!A18), 0) / IFERROR(SUMIFS('Base de données'!$E:$E, 'Base de données'!A:A, BD_etu_notes_S2_C2!C18, 'Base de données'!$C:$C, BD_etu_notes_S2_C2!A18), 0),0)</f>
        <v>0</v>
      </c>
    </row>
    <row r="19" spans="1:5" x14ac:dyDescent="0.2">
      <c r="A19" s="4" t="str">
        <f>_xlfn.XLOOKUP(B19,'Semestre 2'!$D$3:$D$29,'Semestre 2'!$B$3:$B$29,"introuvable")</f>
        <v>Statistique descriptive 2</v>
      </c>
      <c r="B19" s="4" t="s">
        <v>109</v>
      </c>
      <c r="C19" s="2" t="s">
        <v>19</v>
      </c>
      <c r="D19" s="4">
        <f>_xlfn.XLOOKUP(B19,'Semestre 2'!$D$3:$D$29,'Semestre 2'!$C$3:$C$29,"introuvable")</f>
        <v>10</v>
      </c>
      <c r="E19" s="4">
        <f>IFERROR(IFERROR(SUMIFS('Base de données'!$G:$G, 'Base de données'!A:A, BD_etu_notes_S2_C2!C19, 'Base de données'!$C:$C, BD_etu_notes_S2_C2!A19), 0) / IFERROR(SUMIFS('Base de données'!$E:$E, 'Base de données'!A:A, BD_etu_notes_S2_C2!C19, 'Base de données'!$C:$C, BD_etu_notes_S2_C2!A19), 0),0)</f>
        <v>0</v>
      </c>
    </row>
    <row r="20" spans="1:5" x14ac:dyDescent="0.2">
      <c r="A20" s="4" t="str">
        <f>_xlfn.XLOOKUP(B20,'Semestre 2'!$D$3:$D$29,'Semestre 2'!$B$3:$B$29,"introuvable")</f>
        <v>Statistique descriptive 2</v>
      </c>
      <c r="B20" s="4" t="s">
        <v>109</v>
      </c>
      <c r="C20" s="2" t="s">
        <v>21</v>
      </c>
      <c r="D20" s="4">
        <f>_xlfn.XLOOKUP(B20,'Semestre 2'!$D$3:$D$29,'Semestre 2'!$C$3:$C$29,"introuvable")</f>
        <v>10</v>
      </c>
      <c r="E20" s="4">
        <f>IFERROR(IFERROR(SUMIFS('Base de données'!$G:$G, 'Base de données'!A:A, BD_etu_notes_S2_C2!C20, 'Base de données'!$C:$C, BD_etu_notes_S2_C2!A20), 0) / IFERROR(SUMIFS('Base de données'!$E:$E, 'Base de données'!A:A, BD_etu_notes_S2_C2!C20, 'Base de données'!$C:$C, BD_etu_notes_S2_C2!A20), 0),0)</f>
        <v>0</v>
      </c>
    </row>
    <row r="21" spans="1:5" x14ac:dyDescent="0.2">
      <c r="A21" s="4" t="str">
        <f>_xlfn.XLOOKUP(B21,'Semestre 2'!$D$3:$D$29,'Semestre 2'!$B$3:$B$29,"introuvable")</f>
        <v>Statistique descriptive 2</v>
      </c>
      <c r="B21" s="4" t="s">
        <v>109</v>
      </c>
      <c r="C21" s="2" t="s">
        <v>24</v>
      </c>
      <c r="D21" s="4">
        <f>_xlfn.XLOOKUP(B21,'Semestre 2'!$D$3:$D$29,'Semestre 2'!$C$3:$C$29,"introuvable")</f>
        <v>10</v>
      </c>
      <c r="E21" s="4">
        <f>IFERROR(IFERROR(SUMIFS('Base de données'!$G:$G, 'Base de données'!A:A, BD_etu_notes_S2_C2!C21, 'Base de données'!$C:$C, BD_etu_notes_S2_C2!A21), 0) / IFERROR(SUMIFS('Base de données'!$E:$E, 'Base de données'!A:A, BD_etu_notes_S2_C2!C21, 'Base de données'!$C:$C, BD_etu_notes_S2_C2!A21), 0),0)</f>
        <v>0</v>
      </c>
    </row>
    <row r="22" spans="1:5" x14ac:dyDescent="0.2">
      <c r="A22" s="4" t="str">
        <f>_xlfn.XLOOKUP(B22,'Semestre 2'!$D$3:$D$29,'Semestre 2'!$B$3:$B$29,"introuvable")</f>
        <v>Statistique descriptive 2</v>
      </c>
      <c r="B22" s="4" t="s">
        <v>109</v>
      </c>
      <c r="C22" s="2" t="s">
        <v>26</v>
      </c>
      <c r="D22" s="4">
        <f>_xlfn.XLOOKUP(B22,'Semestre 2'!$D$3:$D$29,'Semestre 2'!$C$3:$C$29,"introuvable")</f>
        <v>10</v>
      </c>
      <c r="E22" s="4">
        <f>IFERROR(IFERROR(SUMIFS('Base de données'!$G:$G, 'Base de données'!A:A, BD_etu_notes_S2_C2!C22, 'Base de données'!$C:$C, BD_etu_notes_S2_C2!A22), 0) / IFERROR(SUMIFS('Base de données'!$E:$E, 'Base de données'!A:A, BD_etu_notes_S2_C2!C22, 'Base de données'!$C:$C, BD_etu_notes_S2_C2!A22), 0),0)</f>
        <v>0</v>
      </c>
    </row>
    <row r="23" spans="1:5" x14ac:dyDescent="0.2">
      <c r="A23" s="4" t="str">
        <f>_xlfn.XLOOKUP(B23,'Semestre 2'!$D$3:$D$29,'Semestre 2'!$B$3:$B$29,"introuvable")</f>
        <v>Statistique descriptive 2</v>
      </c>
      <c r="B23" s="4" t="s">
        <v>109</v>
      </c>
      <c r="C23" s="2" t="s">
        <v>29</v>
      </c>
      <c r="D23" s="4">
        <f>_xlfn.XLOOKUP(B23,'Semestre 2'!$D$3:$D$29,'Semestre 2'!$C$3:$C$29,"introuvable")</f>
        <v>10</v>
      </c>
      <c r="E23" s="4">
        <f>IFERROR(IFERROR(SUMIFS('Base de données'!$G:$G, 'Base de données'!A:A, BD_etu_notes_S2_C2!C23, 'Base de données'!$C:$C, BD_etu_notes_S2_C2!A23), 0) / IFERROR(SUMIFS('Base de données'!$E:$E, 'Base de données'!A:A, BD_etu_notes_S2_C2!C23, 'Base de données'!$C:$C, BD_etu_notes_S2_C2!A23), 0),0)</f>
        <v>0</v>
      </c>
    </row>
    <row r="24" spans="1:5" x14ac:dyDescent="0.2">
      <c r="A24" s="4" t="str">
        <f>_xlfn.XLOOKUP(B24,'Semestre 2'!$D$3:$D$29,'Semestre 2'!$B$3:$B$29,"introuvable")</f>
        <v>Probabilités 2</v>
      </c>
      <c r="B24" s="4" t="s">
        <v>111</v>
      </c>
      <c r="C24" s="2" t="s">
        <v>5</v>
      </c>
      <c r="D24" s="4">
        <f>_xlfn.XLOOKUP(B24,'Semestre 2'!$D$3:$D$29,'Semestre 2'!$C$3:$C$29,"introuvable")</f>
        <v>15</v>
      </c>
      <c r="E24" s="4">
        <f>IFERROR(IFERROR(SUMIFS('Base de données'!$G:$G, 'Base de données'!A:A, BD_etu_notes_S2_C2!C24, 'Base de données'!$C:$C, BD_etu_notes_S2_C2!A24), 0) / IFERROR(SUMIFS('Base de données'!$E:$E, 'Base de données'!A:A, BD_etu_notes_S2_C2!C24, 'Base de données'!$C:$C, BD_etu_notes_S2_C2!A24), 0),0)</f>
        <v>0</v>
      </c>
    </row>
    <row r="25" spans="1:5" x14ac:dyDescent="0.2">
      <c r="A25" s="4" t="str">
        <f>_xlfn.XLOOKUP(B25,'Semestre 2'!$D$3:$D$29,'Semestre 2'!$B$3:$B$29,"introuvable")</f>
        <v>Probabilités 2</v>
      </c>
      <c r="B25" s="4" t="s">
        <v>111</v>
      </c>
      <c r="C25" s="2" t="s">
        <v>9</v>
      </c>
      <c r="D25" s="4">
        <f>_xlfn.XLOOKUP(B25,'Semestre 2'!$D$3:$D$29,'Semestre 2'!$C$3:$C$29,"introuvable")</f>
        <v>15</v>
      </c>
      <c r="E25" s="4">
        <f>IFERROR(IFERROR(SUMIFS('Base de données'!$G:$G, 'Base de données'!A:A, BD_etu_notes_S2_C2!C25, 'Base de données'!$C:$C, BD_etu_notes_S2_C2!A25), 0) / IFERROR(SUMIFS('Base de données'!$E:$E, 'Base de données'!A:A, BD_etu_notes_S2_C2!C25, 'Base de données'!$C:$C, BD_etu_notes_S2_C2!A25), 0),0)</f>
        <v>0</v>
      </c>
    </row>
    <row r="26" spans="1:5" x14ac:dyDescent="0.2">
      <c r="A26" s="4" t="str">
        <f>_xlfn.XLOOKUP(B26,'Semestre 2'!$D$3:$D$29,'Semestre 2'!$B$3:$B$29,"introuvable")</f>
        <v>Probabilités 2</v>
      </c>
      <c r="B26" s="4" t="s">
        <v>111</v>
      </c>
      <c r="C26" s="2" t="s">
        <v>11</v>
      </c>
      <c r="D26" s="4">
        <f>_xlfn.XLOOKUP(B26,'Semestre 2'!$D$3:$D$29,'Semestre 2'!$C$3:$C$29,"introuvable")</f>
        <v>15</v>
      </c>
      <c r="E26" s="4">
        <f>IFERROR(IFERROR(SUMIFS('Base de données'!$G:$G, 'Base de données'!A:A, BD_etu_notes_S2_C2!C26, 'Base de données'!$C:$C, BD_etu_notes_S2_C2!A26), 0) / IFERROR(SUMIFS('Base de données'!$E:$E, 'Base de données'!A:A, BD_etu_notes_S2_C2!C26, 'Base de données'!$C:$C, BD_etu_notes_S2_C2!A26), 0),0)</f>
        <v>0</v>
      </c>
    </row>
    <row r="27" spans="1:5" x14ac:dyDescent="0.2">
      <c r="A27" s="4" t="str">
        <f>_xlfn.XLOOKUP(B27,'Semestre 2'!$D$3:$D$29,'Semestre 2'!$B$3:$B$29,"introuvable")</f>
        <v>Probabilités 2</v>
      </c>
      <c r="B27" s="4" t="s">
        <v>111</v>
      </c>
      <c r="C27" s="2" t="s">
        <v>14</v>
      </c>
      <c r="D27" s="4">
        <f>_xlfn.XLOOKUP(B27,'Semestre 2'!$D$3:$D$29,'Semestre 2'!$C$3:$C$29,"introuvable")</f>
        <v>15</v>
      </c>
      <c r="E27" s="4">
        <f>IFERROR(IFERROR(SUMIFS('Base de données'!$G:$G, 'Base de données'!A:A, BD_etu_notes_S2_C2!C27, 'Base de données'!$C:$C, BD_etu_notes_S2_C2!A27), 0) / IFERROR(SUMIFS('Base de données'!$E:$E, 'Base de données'!A:A, BD_etu_notes_S2_C2!C27, 'Base de données'!$C:$C, BD_etu_notes_S2_C2!A27), 0),0)</f>
        <v>0</v>
      </c>
    </row>
    <row r="28" spans="1:5" x14ac:dyDescent="0.2">
      <c r="A28" s="4" t="str">
        <f>_xlfn.XLOOKUP(B28,'Semestre 2'!$D$3:$D$29,'Semestre 2'!$B$3:$B$29,"introuvable")</f>
        <v>Probabilités 2</v>
      </c>
      <c r="B28" s="4" t="s">
        <v>111</v>
      </c>
      <c r="C28" s="2" t="s">
        <v>16</v>
      </c>
      <c r="D28" s="4">
        <f>_xlfn.XLOOKUP(B28,'Semestre 2'!$D$3:$D$29,'Semestre 2'!$C$3:$C$29,"introuvable")</f>
        <v>15</v>
      </c>
      <c r="E28" s="4">
        <f>IFERROR(IFERROR(SUMIFS('Base de données'!$G:$G, 'Base de données'!A:A, BD_etu_notes_S2_C2!C28, 'Base de données'!$C:$C, BD_etu_notes_S2_C2!A28), 0) / IFERROR(SUMIFS('Base de données'!$E:$E, 'Base de données'!A:A, BD_etu_notes_S2_C2!C28, 'Base de données'!$C:$C, BD_etu_notes_S2_C2!A28), 0),0)</f>
        <v>0</v>
      </c>
    </row>
    <row r="29" spans="1:5" x14ac:dyDescent="0.2">
      <c r="A29" s="4" t="str">
        <f>_xlfn.XLOOKUP(B29,'Semestre 2'!$D$3:$D$29,'Semestre 2'!$B$3:$B$29,"introuvable")</f>
        <v>Probabilités 2</v>
      </c>
      <c r="B29" s="4" t="s">
        <v>111</v>
      </c>
      <c r="C29" s="2" t="s">
        <v>19</v>
      </c>
      <c r="D29" s="4">
        <f>_xlfn.XLOOKUP(B29,'Semestre 2'!$D$3:$D$29,'Semestre 2'!$C$3:$C$29,"introuvable")</f>
        <v>15</v>
      </c>
      <c r="E29" s="4">
        <f>IFERROR(IFERROR(SUMIFS('Base de données'!$G:$G, 'Base de données'!A:A, BD_etu_notes_S2_C2!C29, 'Base de données'!$C:$C, BD_etu_notes_S2_C2!A29), 0) / IFERROR(SUMIFS('Base de données'!$E:$E, 'Base de données'!A:A, BD_etu_notes_S2_C2!C29, 'Base de données'!$C:$C, BD_etu_notes_S2_C2!A29), 0),0)</f>
        <v>0</v>
      </c>
    </row>
    <row r="30" spans="1:5" x14ac:dyDescent="0.2">
      <c r="A30" s="4" t="str">
        <f>_xlfn.XLOOKUP(B30,'Semestre 2'!$D$3:$D$29,'Semestre 2'!$B$3:$B$29,"introuvable")</f>
        <v>Probabilités 2</v>
      </c>
      <c r="B30" s="4" t="s">
        <v>111</v>
      </c>
      <c r="C30" s="2" t="s">
        <v>21</v>
      </c>
      <c r="D30" s="4">
        <f>_xlfn.XLOOKUP(B30,'Semestre 2'!$D$3:$D$29,'Semestre 2'!$C$3:$C$29,"introuvable")</f>
        <v>15</v>
      </c>
      <c r="E30" s="4">
        <f>IFERROR(IFERROR(SUMIFS('Base de données'!$G:$G, 'Base de données'!A:A, BD_etu_notes_S2_C2!C30, 'Base de données'!$C:$C, BD_etu_notes_S2_C2!A30), 0) / IFERROR(SUMIFS('Base de données'!$E:$E, 'Base de données'!A:A, BD_etu_notes_S2_C2!C30, 'Base de données'!$C:$C, BD_etu_notes_S2_C2!A30), 0),0)</f>
        <v>0</v>
      </c>
    </row>
    <row r="31" spans="1:5" x14ac:dyDescent="0.2">
      <c r="A31" s="4" t="str">
        <f>_xlfn.XLOOKUP(B31,'Semestre 2'!$D$3:$D$29,'Semestre 2'!$B$3:$B$29,"introuvable")</f>
        <v>Probabilités 2</v>
      </c>
      <c r="B31" s="4" t="s">
        <v>111</v>
      </c>
      <c r="C31" s="2" t="s">
        <v>24</v>
      </c>
      <c r="D31" s="4">
        <f>_xlfn.XLOOKUP(B31,'Semestre 2'!$D$3:$D$29,'Semestre 2'!$C$3:$C$29,"introuvable")</f>
        <v>15</v>
      </c>
      <c r="E31" s="4">
        <f>IFERROR(IFERROR(SUMIFS('Base de données'!$G:$G, 'Base de données'!A:A, BD_etu_notes_S2_C2!C31, 'Base de données'!$C:$C, BD_etu_notes_S2_C2!A31), 0) / IFERROR(SUMIFS('Base de données'!$E:$E, 'Base de données'!A:A, BD_etu_notes_S2_C2!C31, 'Base de données'!$C:$C, BD_etu_notes_S2_C2!A31), 0),0)</f>
        <v>0</v>
      </c>
    </row>
    <row r="32" spans="1:5" x14ac:dyDescent="0.2">
      <c r="A32" s="4" t="str">
        <f>_xlfn.XLOOKUP(B32,'Semestre 2'!$D$3:$D$29,'Semestre 2'!$B$3:$B$29,"introuvable")</f>
        <v>Probabilités 2</v>
      </c>
      <c r="B32" s="4" t="s">
        <v>111</v>
      </c>
      <c r="C32" s="2" t="s">
        <v>26</v>
      </c>
      <c r="D32" s="4">
        <f>_xlfn.XLOOKUP(B32,'Semestre 2'!$D$3:$D$29,'Semestre 2'!$C$3:$C$29,"introuvable")</f>
        <v>15</v>
      </c>
      <c r="E32" s="4">
        <f>IFERROR(IFERROR(SUMIFS('Base de données'!$G:$G, 'Base de données'!A:A, BD_etu_notes_S2_C2!C32, 'Base de données'!$C:$C, BD_etu_notes_S2_C2!A32), 0) / IFERROR(SUMIFS('Base de données'!$E:$E, 'Base de données'!A:A, BD_etu_notes_S2_C2!C32, 'Base de données'!$C:$C, BD_etu_notes_S2_C2!A32), 0),0)</f>
        <v>0</v>
      </c>
    </row>
    <row r="33" spans="1:5" x14ac:dyDescent="0.2">
      <c r="A33" s="4" t="str">
        <f>_xlfn.XLOOKUP(B33,'Semestre 2'!$D$3:$D$29,'Semestre 2'!$B$3:$B$29,"introuvable")</f>
        <v>Probabilités 2</v>
      </c>
      <c r="B33" s="4" t="s">
        <v>111</v>
      </c>
      <c r="C33" s="2" t="s">
        <v>29</v>
      </c>
      <c r="D33" s="4">
        <f>_xlfn.XLOOKUP(B33,'Semestre 2'!$D$3:$D$29,'Semestre 2'!$C$3:$C$29,"introuvable")</f>
        <v>15</v>
      </c>
      <c r="E33" s="4">
        <f>IFERROR(IFERROR(SUMIFS('Base de données'!$G:$G, 'Base de données'!A:A, BD_etu_notes_S2_C2!C33, 'Base de données'!$C:$C, BD_etu_notes_S2_C2!A33), 0) / IFERROR(SUMIFS('Base de données'!$E:$E, 'Base de données'!A:A, BD_etu_notes_S2_C2!C33, 'Base de données'!$C:$C, BD_etu_notes_S2_C2!A33), 0),0)</f>
        <v>0</v>
      </c>
    </row>
    <row r="34" spans="1:5" x14ac:dyDescent="0.2">
      <c r="A34" s="4" t="str">
        <f>_xlfn.XLOOKUP(B34,'Semestre 2'!$D$3:$D$29,'Semestre 2'!$B$3:$B$29,"introuvable")</f>
        <v>Bases de l'algèbre</v>
      </c>
      <c r="B34" s="4" t="s">
        <v>113</v>
      </c>
      <c r="C34" s="2" t="s">
        <v>5</v>
      </c>
      <c r="D34" s="4">
        <f>_xlfn.XLOOKUP(B34,'Semestre 2'!$D$3:$D$29,'Semestre 2'!$C$3:$C$29,"introuvable")</f>
        <v>15</v>
      </c>
      <c r="E34" s="4">
        <f>IFERROR(IFERROR(SUMIFS('Base de données'!$G:$G, 'Base de données'!A:A, BD_etu_notes_S2_C2!C34, 'Base de données'!$C:$C, BD_etu_notes_S2_C2!A34), 0) / IFERROR(SUMIFS('Base de données'!$E:$E, 'Base de données'!A:A, BD_etu_notes_S2_C2!C34, 'Base de données'!$C:$C, BD_etu_notes_S2_C2!A34), 0),0)</f>
        <v>0</v>
      </c>
    </row>
    <row r="35" spans="1:5" x14ac:dyDescent="0.2">
      <c r="A35" s="4" t="str">
        <f>_xlfn.XLOOKUP(B35,'Semestre 2'!$D$3:$D$29,'Semestre 2'!$B$3:$B$29,"introuvable")</f>
        <v>Bases de l'algèbre</v>
      </c>
      <c r="B35" s="4" t="s">
        <v>113</v>
      </c>
      <c r="C35" s="2" t="s">
        <v>9</v>
      </c>
      <c r="D35" s="4">
        <f>_xlfn.XLOOKUP(B35,'Semestre 2'!$D$3:$D$29,'Semestre 2'!$C$3:$C$29,"introuvable")</f>
        <v>15</v>
      </c>
      <c r="E35" s="4">
        <f>IFERROR(IFERROR(SUMIFS('Base de données'!$G:$G, 'Base de données'!A:A, BD_etu_notes_S2_C2!C35, 'Base de données'!$C:$C, BD_etu_notes_S2_C2!A35), 0) / IFERROR(SUMIFS('Base de données'!$E:$E, 'Base de données'!A:A, BD_etu_notes_S2_C2!C35, 'Base de données'!$C:$C, BD_etu_notes_S2_C2!A35), 0),0)</f>
        <v>0</v>
      </c>
    </row>
    <row r="36" spans="1:5" x14ac:dyDescent="0.2">
      <c r="A36" s="4" t="str">
        <f>_xlfn.XLOOKUP(B36,'Semestre 2'!$D$3:$D$29,'Semestre 2'!$B$3:$B$29,"introuvable")</f>
        <v>Bases de l'algèbre</v>
      </c>
      <c r="B36" s="4" t="s">
        <v>113</v>
      </c>
      <c r="C36" s="2" t="s">
        <v>11</v>
      </c>
      <c r="D36" s="4">
        <f>_xlfn.XLOOKUP(B36,'Semestre 2'!$D$3:$D$29,'Semestre 2'!$C$3:$C$29,"introuvable")</f>
        <v>15</v>
      </c>
      <c r="E36" s="4">
        <f>IFERROR(IFERROR(SUMIFS('Base de données'!$G:$G, 'Base de données'!A:A, BD_etu_notes_S2_C2!C36, 'Base de données'!$C:$C, BD_etu_notes_S2_C2!A36), 0) / IFERROR(SUMIFS('Base de données'!$E:$E, 'Base de données'!A:A, BD_etu_notes_S2_C2!C36, 'Base de données'!$C:$C, BD_etu_notes_S2_C2!A36), 0),0)</f>
        <v>0</v>
      </c>
    </row>
    <row r="37" spans="1:5" x14ac:dyDescent="0.2">
      <c r="A37" s="4" t="str">
        <f>_xlfn.XLOOKUP(B37,'Semestre 2'!$D$3:$D$29,'Semestre 2'!$B$3:$B$29,"introuvable")</f>
        <v>Bases de l'algèbre</v>
      </c>
      <c r="B37" s="4" t="s">
        <v>113</v>
      </c>
      <c r="C37" s="2" t="s">
        <v>14</v>
      </c>
      <c r="D37" s="4">
        <f>_xlfn.XLOOKUP(B37,'Semestre 2'!$D$3:$D$29,'Semestre 2'!$C$3:$C$29,"introuvable")</f>
        <v>15</v>
      </c>
      <c r="E37" s="4">
        <f>IFERROR(IFERROR(SUMIFS('Base de données'!$G:$G, 'Base de données'!A:A, BD_etu_notes_S2_C2!C37, 'Base de données'!$C:$C, BD_etu_notes_S2_C2!A37), 0) / IFERROR(SUMIFS('Base de données'!$E:$E, 'Base de données'!A:A, BD_etu_notes_S2_C2!C37, 'Base de données'!$C:$C, BD_etu_notes_S2_C2!A37), 0),0)</f>
        <v>0</v>
      </c>
    </row>
    <row r="38" spans="1:5" x14ac:dyDescent="0.2">
      <c r="A38" s="4" t="str">
        <f>_xlfn.XLOOKUP(B38,'Semestre 2'!$D$3:$D$29,'Semestre 2'!$B$3:$B$29,"introuvable")</f>
        <v>Bases de l'algèbre</v>
      </c>
      <c r="B38" s="4" t="s">
        <v>113</v>
      </c>
      <c r="C38" s="2" t="s">
        <v>16</v>
      </c>
      <c r="D38" s="4">
        <f>_xlfn.XLOOKUP(B38,'Semestre 2'!$D$3:$D$29,'Semestre 2'!$C$3:$C$29,"introuvable")</f>
        <v>15</v>
      </c>
      <c r="E38" s="4">
        <f>IFERROR(IFERROR(SUMIFS('Base de données'!$G:$G, 'Base de données'!A:A, BD_etu_notes_S2_C2!C38, 'Base de données'!$C:$C, BD_etu_notes_S2_C2!A38), 0) / IFERROR(SUMIFS('Base de données'!$E:$E, 'Base de données'!A:A, BD_etu_notes_S2_C2!C38, 'Base de données'!$C:$C, BD_etu_notes_S2_C2!A38), 0),0)</f>
        <v>0</v>
      </c>
    </row>
    <row r="39" spans="1:5" x14ac:dyDescent="0.2">
      <c r="A39" s="4" t="str">
        <f>_xlfn.XLOOKUP(B39,'Semestre 2'!$D$3:$D$29,'Semestre 2'!$B$3:$B$29,"introuvable")</f>
        <v>Bases de l'algèbre</v>
      </c>
      <c r="B39" s="4" t="s">
        <v>113</v>
      </c>
      <c r="C39" s="2" t="s">
        <v>19</v>
      </c>
      <c r="D39" s="4">
        <f>_xlfn.XLOOKUP(B39,'Semestre 2'!$D$3:$D$29,'Semestre 2'!$C$3:$C$29,"introuvable")</f>
        <v>15</v>
      </c>
      <c r="E39" s="4">
        <f>IFERROR(IFERROR(SUMIFS('Base de données'!$G:$G, 'Base de données'!A:A, BD_etu_notes_S2_C2!C39, 'Base de données'!$C:$C, BD_etu_notes_S2_C2!A39), 0) / IFERROR(SUMIFS('Base de données'!$E:$E, 'Base de données'!A:A, BD_etu_notes_S2_C2!C39, 'Base de données'!$C:$C, BD_etu_notes_S2_C2!A39), 0),0)</f>
        <v>0</v>
      </c>
    </row>
    <row r="40" spans="1:5" x14ac:dyDescent="0.2">
      <c r="A40" s="4" t="str">
        <f>_xlfn.XLOOKUP(B40,'Semestre 2'!$D$3:$D$29,'Semestre 2'!$B$3:$B$29,"introuvable")</f>
        <v>Bases de l'algèbre</v>
      </c>
      <c r="B40" s="4" t="s">
        <v>113</v>
      </c>
      <c r="C40" s="2" t="s">
        <v>21</v>
      </c>
      <c r="D40" s="4">
        <f>_xlfn.XLOOKUP(B40,'Semestre 2'!$D$3:$D$29,'Semestre 2'!$C$3:$C$29,"introuvable")</f>
        <v>15</v>
      </c>
      <c r="E40" s="4">
        <f>IFERROR(IFERROR(SUMIFS('Base de données'!$G:$G, 'Base de données'!A:A, BD_etu_notes_S2_C2!C40, 'Base de données'!$C:$C, BD_etu_notes_S2_C2!A40), 0) / IFERROR(SUMIFS('Base de données'!$E:$E, 'Base de données'!A:A, BD_etu_notes_S2_C2!C40, 'Base de données'!$C:$C, BD_etu_notes_S2_C2!A40), 0),0)</f>
        <v>0</v>
      </c>
    </row>
    <row r="41" spans="1:5" x14ac:dyDescent="0.2">
      <c r="A41" s="4" t="str">
        <f>_xlfn.XLOOKUP(B41,'Semestre 2'!$D$3:$D$29,'Semestre 2'!$B$3:$B$29,"introuvable")</f>
        <v>Bases de l'algèbre</v>
      </c>
      <c r="B41" s="4" t="s">
        <v>113</v>
      </c>
      <c r="C41" s="2" t="s">
        <v>24</v>
      </c>
      <c r="D41" s="4">
        <f>_xlfn.XLOOKUP(B41,'Semestre 2'!$D$3:$D$29,'Semestre 2'!$C$3:$C$29,"introuvable")</f>
        <v>15</v>
      </c>
      <c r="E41" s="4">
        <f>IFERROR(IFERROR(SUMIFS('Base de données'!$G:$G, 'Base de données'!A:A, BD_etu_notes_S2_C2!C41, 'Base de données'!$C:$C, BD_etu_notes_S2_C2!A41), 0) / IFERROR(SUMIFS('Base de données'!$E:$E, 'Base de données'!A:A, BD_etu_notes_S2_C2!C41, 'Base de données'!$C:$C, BD_etu_notes_S2_C2!A41), 0),0)</f>
        <v>0</v>
      </c>
    </row>
    <row r="42" spans="1:5" x14ac:dyDescent="0.2">
      <c r="A42" s="4" t="str">
        <f>_xlfn.XLOOKUP(B42,'Semestre 2'!$D$3:$D$29,'Semestre 2'!$B$3:$B$29,"introuvable")</f>
        <v>Bases de l'algèbre</v>
      </c>
      <c r="B42" s="4" t="s">
        <v>113</v>
      </c>
      <c r="C42" s="2" t="s">
        <v>26</v>
      </c>
      <c r="D42" s="4">
        <f>_xlfn.XLOOKUP(B42,'Semestre 2'!$D$3:$D$29,'Semestre 2'!$C$3:$C$29,"introuvable")</f>
        <v>15</v>
      </c>
      <c r="E42" s="4">
        <f>IFERROR(IFERROR(SUMIFS('Base de données'!$G:$G, 'Base de données'!A:A, BD_etu_notes_S2_C2!C42, 'Base de données'!$C:$C, BD_etu_notes_S2_C2!A42), 0) / IFERROR(SUMIFS('Base de données'!$E:$E, 'Base de données'!A:A, BD_etu_notes_S2_C2!C42, 'Base de données'!$C:$C, BD_etu_notes_S2_C2!A42), 0),0)</f>
        <v>0</v>
      </c>
    </row>
    <row r="43" spans="1:5" x14ac:dyDescent="0.2">
      <c r="A43" s="4" t="str">
        <f>_xlfn.XLOOKUP(B43,'Semestre 2'!$D$3:$D$29,'Semestre 2'!$B$3:$B$29,"introuvable")</f>
        <v>Bases de l'algèbre</v>
      </c>
      <c r="B43" s="4" t="s">
        <v>113</v>
      </c>
      <c r="C43" s="2" t="s">
        <v>29</v>
      </c>
      <c r="D43" s="4">
        <f>_xlfn.XLOOKUP(B43,'Semestre 2'!$D$3:$D$29,'Semestre 2'!$C$3:$C$29,"introuvable")</f>
        <v>15</v>
      </c>
      <c r="E43" s="4">
        <f>IFERROR(IFERROR(SUMIFS('Base de données'!$G:$G, 'Base de données'!A:A, BD_etu_notes_S2_C2!C43, 'Base de données'!$C:$C, BD_etu_notes_S2_C2!A43), 0) / IFERROR(SUMIFS('Base de données'!$E:$E, 'Base de données'!A:A, BD_etu_notes_S2_C2!C43, 'Base de données'!$C:$C, BD_etu_notes_S2_C2!A43), 0),0)</f>
        <v>0</v>
      </c>
    </row>
    <row r="44" spans="1:5" x14ac:dyDescent="0.2">
      <c r="A44" s="4" t="str">
        <f>_xlfn.XLOOKUP(B44,'Semestre 2'!$D$3:$D$29,'Semestre 2'!$B$3:$B$29,"introuvable")</f>
        <v>Statistique inférentielle</v>
      </c>
      <c r="B44" s="4" t="s">
        <v>115</v>
      </c>
      <c r="C44" s="2" t="s">
        <v>5</v>
      </c>
      <c r="D44" s="4">
        <f>_xlfn.XLOOKUP(B44,'Semestre 2'!$D$3:$D$29,'Semestre 2'!$C$3:$C$29,"introuvable")</f>
        <v>15</v>
      </c>
      <c r="E44" s="4">
        <f>IFERROR(IFERROR(SUMIFS('Base de données'!$G:$G, 'Base de données'!A:A, BD_etu_notes_S2_C2!C44, 'Base de données'!$C:$C, BD_etu_notes_S2_C2!A44), 0) / IFERROR(SUMIFS('Base de données'!$E:$E, 'Base de données'!A:A, BD_etu_notes_S2_C2!C44, 'Base de données'!$C:$C, BD_etu_notes_S2_C2!A44), 0),0)</f>
        <v>0</v>
      </c>
    </row>
    <row r="45" spans="1:5" x14ac:dyDescent="0.2">
      <c r="A45" s="4" t="str">
        <f>_xlfn.XLOOKUP(B45,'Semestre 2'!$D$3:$D$29,'Semestre 2'!$B$3:$B$29,"introuvable")</f>
        <v>Statistique inférentielle</v>
      </c>
      <c r="B45" s="4" t="s">
        <v>115</v>
      </c>
      <c r="C45" s="2" t="s">
        <v>9</v>
      </c>
      <c r="D45" s="4">
        <f>_xlfn.XLOOKUP(B45,'Semestre 2'!$D$3:$D$29,'Semestre 2'!$C$3:$C$29,"introuvable")</f>
        <v>15</v>
      </c>
      <c r="E45" s="4">
        <f>IFERROR(IFERROR(SUMIFS('Base de données'!$G:$G, 'Base de données'!A:A, BD_etu_notes_S2_C2!C45, 'Base de données'!$C:$C, BD_etu_notes_S2_C2!A45), 0) / IFERROR(SUMIFS('Base de données'!$E:$E, 'Base de données'!A:A, BD_etu_notes_S2_C2!C45, 'Base de données'!$C:$C, BD_etu_notes_S2_C2!A45), 0),0)</f>
        <v>0</v>
      </c>
    </row>
    <row r="46" spans="1:5" x14ac:dyDescent="0.2">
      <c r="A46" s="4" t="str">
        <f>_xlfn.XLOOKUP(B46,'Semestre 2'!$D$3:$D$29,'Semestre 2'!$B$3:$B$29,"introuvable")</f>
        <v>Statistique inférentielle</v>
      </c>
      <c r="B46" s="4" t="s">
        <v>115</v>
      </c>
      <c r="C46" s="2" t="s">
        <v>11</v>
      </c>
      <c r="D46" s="4">
        <f>_xlfn.XLOOKUP(B46,'Semestre 2'!$D$3:$D$29,'Semestre 2'!$C$3:$C$29,"introuvable")</f>
        <v>15</v>
      </c>
      <c r="E46" s="4">
        <f>IFERROR(IFERROR(SUMIFS('Base de données'!$G:$G, 'Base de données'!A:A, BD_etu_notes_S2_C2!C46, 'Base de données'!$C:$C, BD_etu_notes_S2_C2!A46), 0) / IFERROR(SUMIFS('Base de données'!$E:$E, 'Base de données'!A:A, BD_etu_notes_S2_C2!C46, 'Base de données'!$C:$C, BD_etu_notes_S2_C2!A46), 0),0)</f>
        <v>0</v>
      </c>
    </row>
    <row r="47" spans="1:5" x14ac:dyDescent="0.2">
      <c r="A47" s="4" t="str">
        <f>_xlfn.XLOOKUP(B47,'Semestre 2'!$D$3:$D$29,'Semestre 2'!$B$3:$B$29,"introuvable")</f>
        <v>Statistique inférentielle</v>
      </c>
      <c r="B47" s="4" t="s">
        <v>115</v>
      </c>
      <c r="C47" s="2" t="s">
        <v>14</v>
      </c>
      <c r="D47" s="4">
        <f>_xlfn.XLOOKUP(B47,'Semestre 2'!$D$3:$D$29,'Semestre 2'!$C$3:$C$29,"introuvable")</f>
        <v>15</v>
      </c>
      <c r="E47" s="4">
        <f>IFERROR(IFERROR(SUMIFS('Base de données'!$G:$G, 'Base de données'!A:A, BD_etu_notes_S2_C2!C47, 'Base de données'!$C:$C, BD_etu_notes_S2_C2!A47), 0) / IFERROR(SUMIFS('Base de données'!$E:$E, 'Base de données'!A:A, BD_etu_notes_S2_C2!C47, 'Base de données'!$C:$C, BD_etu_notes_S2_C2!A47), 0),0)</f>
        <v>0</v>
      </c>
    </row>
    <row r="48" spans="1:5" x14ac:dyDescent="0.2">
      <c r="A48" s="4" t="str">
        <f>_xlfn.XLOOKUP(B48,'Semestre 2'!$D$3:$D$29,'Semestre 2'!$B$3:$B$29,"introuvable")</f>
        <v>Statistique inférentielle</v>
      </c>
      <c r="B48" s="4" t="s">
        <v>115</v>
      </c>
      <c r="C48" s="2" t="s">
        <v>16</v>
      </c>
      <c r="D48" s="4">
        <f>_xlfn.XLOOKUP(B48,'Semestre 2'!$D$3:$D$29,'Semestre 2'!$C$3:$C$29,"introuvable")</f>
        <v>15</v>
      </c>
      <c r="E48" s="4">
        <f>IFERROR(IFERROR(SUMIFS('Base de données'!$G:$G, 'Base de données'!A:A, BD_etu_notes_S2_C2!C48, 'Base de données'!$C:$C, BD_etu_notes_S2_C2!A48), 0) / IFERROR(SUMIFS('Base de données'!$E:$E, 'Base de données'!A:A, BD_etu_notes_S2_C2!C48, 'Base de données'!$C:$C, BD_etu_notes_S2_C2!A48), 0),0)</f>
        <v>0</v>
      </c>
    </row>
    <row r="49" spans="1:5" x14ac:dyDescent="0.2">
      <c r="A49" s="4" t="str">
        <f>_xlfn.XLOOKUP(B49,'Semestre 2'!$D$3:$D$29,'Semestre 2'!$B$3:$B$29,"introuvable")</f>
        <v>Statistique inférentielle</v>
      </c>
      <c r="B49" s="4" t="s">
        <v>115</v>
      </c>
      <c r="C49" s="2" t="s">
        <v>19</v>
      </c>
      <c r="D49" s="4">
        <f>_xlfn.XLOOKUP(B49,'Semestre 2'!$D$3:$D$29,'Semestre 2'!$C$3:$C$29,"introuvable")</f>
        <v>15</v>
      </c>
      <c r="E49" s="4">
        <f>IFERROR(IFERROR(SUMIFS('Base de données'!$G:$G, 'Base de données'!A:A, BD_etu_notes_S2_C2!C49, 'Base de données'!$C:$C, BD_etu_notes_S2_C2!A49), 0) / IFERROR(SUMIFS('Base de données'!$E:$E, 'Base de données'!A:A, BD_etu_notes_S2_C2!C49, 'Base de données'!$C:$C, BD_etu_notes_S2_C2!A49), 0),0)</f>
        <v>0</v>
      </c>
    </row>
    <row r="50" spans="1:5" x14ac:dyDescent="0.2">
      <c r="A50" s="4" t="str">
        <f>_xlfn.XLOOKUP(B50,'Semestre 2'!$D$3:$D$29,'Semestre 2'!$B$3:$B$29,"introuvable")</f>
        <v>Statistique inférentielle</v>
      </c>
      <c r="B50" s="4" t="s">
        <v>115</v>
      </c>
      <c r="C50" s="2" t="s">
        <v>21</v>
      </c>
      <c r="D50" s="4">
        <f>_xlfn.XLOOKUP(B50,'Semestre 2'!$D$3:$D$29,'Semestre 2'!$C$3:$C$29,"introuvable")</f>
        <v>15</v>
      </c>
      <c r="E50" s="4">
        <f>IFERROR(IFERROR(SUMIFS('Base de données'!$G:$G, 'Base de données'!A:A, BD_etu_notes_S2_C2!C50, 'Base de données'!$C:$C, BD_etu_notes_S2_C2!A50), 0) / IFERROR(SUMIFS('Base de données'!$E:$E, 'Base de données'!A:A, BD_etu_notes_S2_C2!C50, 'Base de données'!$C:$C, BD_etu_notes_S2_C2!A50), 0),0)</f>
        <v>0</v>
      </c>
    </row>
    <row r="51" spans="1:5" x14ac:dyDescent="0.2">
      <c r="A51" s="4" t="str">
        <f>_xlfn.XLOOKUP(B51,'Semestre 2'!$D$3:$D$29,'Semestre 2'!$B$3:$B$29,"introuvable")</f>
        <v>Statistique inférentielle</v>
      </c>
      <c r="B51" s="4" t="s">
        <v>115</v>
      </c>
      <c r="C51" s="2" t="s">
        <v>24</v>
      </c>
      <c r="D51" s="4">
        <f>_xlfn.XLOOKUP(B51,'Semestre 2'!$D$3:$D$29,'Semestre 2'!$C$3:$C$29,"introuvable")</f>
        <v>15</v>
      </c>
      <c r="E51" s="4">
        <f>IFERROR(IFERROR(SUMIFS('Base de données'!$G:$G, 'Base de données'!A:A, BD_etu_notes_S2_C2!C51, 'Base de données'!$C:$C, BD_etu_notes_S2_C2!A51), 0) / IFERROR(SUMIFS('Base de données'!$E:$E, 'Base de données'!A:A, BD_etu_notes_S2_C2!C51, 'Base de données'!$C:$C, BD_etu_notes_S2_C2!A51), 0),0)</f>
        <v>0</v>
      </c>
    </row>
    <row r="52" spans="1:5" x14ac:dyDescent="0.2">
      <c r="A52" s="4" t="str">
        <f>_xlfn.XLOOKUP(B52,'Semestre 2'!$D$3:$D$29,'Semestre 2'!$B$3:$B$29,"introuvable")</f>
        <v>Statistique inférentielle</v>
      </c>
      <c r="B52" s="4" t="s">
        <v>115</v>
      </c>
      <c r="C52" s="2" t="s">
        <v>26</v>
      </c>
      <c r="D52" s="4">
        <f>_xlfn.XLOOKUP(B52,'Semestre 2'!$D$3:$D$29,'Semestre 2'!$C$3:$C$29,"introuvable")</f>
        <v>15</v>
      </c>
      <c r="E52" s="4">
        <f>IFERROR(IFERROR(SUMIFS('Base de données'!$G:$G, 'Base de données'!A:A, BD_etu_notes_S2_C2!C52, 'Base de données'!$C:$C, BD_etu_notes_S2_C2!A52), 0) / IFERROR(SUMIFS('Base de données'!$E:$E, 'Base de données'!A:A, BD_etu_notes_S2_C2!C52, 'Base de données'!$C:$C, BD_etu_notes_S2_C2!A52), 0),0)</f>
        <v>0</v>
      </c>
    </row>
    <row r="53" spans="1:5" x14ac:dyDescent="0.2">
      <c r="A53" s="4" t="str">
        <f>_xlfn.XLOOKUP(B53,'Semestre 2'!$D$3:$D$29,'Semestre 2'!$B$3:$B$29,"introuvable")</f>
        <v>Statistique inférentielle</v>
      </c>
      <c r="B53" s="4" t="s">
        <v>115</v>
      </c>
      <c r="C53" s="2" t="s">
        <v>29</v>
      </c>
      <c r="D53" s="4">
        <f>_xlfn.XLOOKUP(B53,'Semestre 2'!$D$3:$D$29,'Semestre 2'!$C$3:$C$29,"introuvable")</f>
        <v>15</v>
      </c>
      <c r="E53" s="4">
        <f>IFERROR(IFERROR(SUMIFS('Base de données'!$G:$G, 'Base de données'!A:A, BD_etu_notes_S2_C2!C53, 'Base de données'!$C:$C, BD_etu_notes_S2_C2!A53), 0) / IFERROR(SUMIFS('Base de données'!$E:$E, 'Base de données'!A:A, BD_etu_notes_S2_C2!C53, 'Base de données'!$C:$C, BD_etu_notes_S2_C2!A53), 0),0)</f>
        <v>0</v>
      </c>
    </row>
    <row r="54" spans="1:5" x14ac:dyDescent="0.2">
      <c r="A54" s="4" t="str">
        <f>_xlfn.XLOOKUP(B54,'Semestre 2'!$D$3:$D$29,'Semestre 2'!$B$3:$B$29,"introuvable")</f>
        <v>SAÉ - Estimation par échantillonnage</v>
      </c>
      <c r="B54" s="4" t="s">
        <v>117</v>
      </c>
      <c r="C54" s="2" t="s">
        <v>5</v>
      </c>
      <c r="D54" s="4">
        <f>_xlfn.XLOOKUP(B54,'Semestre 2'!$D$3:$D$29,'Semestre 2'!$C$3:$C$29,"introuvable")</f>
        <v>10</v>
      </c>
      <c r="E54" s="4">
        <f>IFERROR(IFERROR(SUMIFS('Base de données'!$G:$G, 'Base de données'!A:A, BD_etu_notes_S2_C2!C54, 'Base de données'!$C:$C, BD_etu_notes_S2_C2!A54), 0) / IFERROR(SUMIFS('Base de données'!$E:$E, 'Base de données'!A:A, BD_etu_notes_S2_C2!C54, 'Base de données'!$C:$C, BD_etu_notes_S2_C2!A54), 0),0)</f>
        <v>0</v>
      </c>
    </row>
    <row r="55" spans="1:5" x14ac:dyDescent="0.2">
      <c r="A55" s="4" t="str">
        <f>_xlfn.XLOOKUP(B55,'Semestre 2'!$D$3:$D$29,'Semestre 2'!$B$3:$B$29,"introuvable")</f>
        <v>SAÉ - Estimation par échantillonnage</v>
      </c>
      <c r="B55" s="4" t="s">
        <v>117</v>
      </c>
      <c r="C55" s="2" t="s">
        <v>9</v>
      </c>
      <c r="D55" s="4">
        <f>_xlfn.XLOOKUP(B55,'Semestre 2'!$D$3:$D$29,'Semestre 2'!$C$3:$C$29,"introuvable")</f>
        <v>10</v>
      </c>
      <c r="E55" s="4">
        <f>IFERROR(IFERROR(SUMIFS('Base de données'!$G:$G, 'Base de données'!A:A, BD_etu_notes_S2_C2!C55, 'Base de données'!$C:$C, BD_etu_notes_S2_C2!A55), 0) / IFERROR(SUMIFS('Base de données'!$E:$E, 'Base de données'!A:A, BD_etu_notes_S2_C2!C55, 'Base de données'!$C:$C, BD_etu_notes_S2_C2!A55), 0),0)</f>
        <v>0</v>
      </c>
    </row>
    <row r="56" spans="1:5" x14ac:dyDescent="0.2">
      <c r="A56" s="4" t="str">
        <f>_xlfn.XLOOKUP(B56,'Semestre 2'!$D$3:$D$29,'Semestre 2'!$B$3:$B$29,"introuvable")</f>
        <v>SAÉ - Estimation par échantillonnage</v>
      </c>
      <c r="B56" s="4" t="s">
        <v>117</v>
      </c>
      <c r="C56" s="2" t="s">
        <v>11</v>
      </c>
      <c r="D56" s="4">
        <f>_xlfn.XLOOKUP(B56,'Semestre 2'!$D$3:$D$29,'Semestre 2'!$C$3:$C$29,"introuvable")</f>
        <v>10</v>
      </c>
      <c r="E56" s="4">
        <f>IFERROR(IFERROR(SUMIFS('Base de données'!$G:$G, 'Base de données'!A:A, BD_etu_notes_S2_C2!C56, 'Base de données'!$C:$C, BD_etu_notes_S2_C2!A56), 0) / IFERROR(SUMIFS('Base de données'!$E:$E, 'Base de données'!A:A, BD_etu_notes_S2_C2!C56, 'Base de données'!$C:$C, BD_etu_notes_S2_C2!A56), 0),0)</f>
        <v>0</v>
      </c>
    </row>
    <row r="57" spans="1:5" x14ac:dyDescent="0.2">
      <c r="A57" s="4" t="str">
        <f>_xlfn.XLOOKUP(B57,'Semestre 2'!$D$3:$D$29,'Semestre 2'!$B$3:$B$29,"introuvable")</f>
        <v>SAÉ - Estimation par échantillonnage</v>
      </c>
      <c r="B57" s="4" t="s">
        <v>117</v>
      </c>
      <c r="C57" s="2" t="s">
        <v>14</v>
      </c>
      <c r="D57" s="4">
        <f>_xlfn.XLOOKUP(B57,'Semestre 2'!$D$3:$D$29,'Semestre 2'!$C$3:$C$29,"introuvable")</f>
        <v>10</v>
      </c>
      <c r="E57" s="4">
        <f>IFERROR(IFERROR(SUMIFS('Base de données'!$G:$G, 'Base de données'!A:A, BD_etu_notes_S2_C2!C57, 'Base de données'!$C:$C, BD_etu_notes_S2_C2!A57), 0) / IFERROR(SUMIFS('Base de données'!$E:$E, 'Base de données'!A:A, BD_etu_notes_S2_C2!C57, 'Base de données'!$C:$C, BD_etu_notes_S2_C2!A57), 0),0)</f>
        <v>0</v>
      </c>
    </row>
    <row r="58" spans="1:5" x14ac:dyDescent="0.2">
      <c r="A58" s="4" t="str">
        <f>_xlfn.XLOOKUP(B58,'Semestre 2'!$D$3:$D$29,'Semestre 2'!$B$3:$B$29,"introuvable")</f>
        <v>SAÉ - Estimation par échantillonnage</v>
      </c>
      <c r="B58" s="4" t="s">
        <v>117</v>
      </c>
      <c r="C58" s="2" t="s">
        <v>16</v>
      </c>
      <c r="D58" s="4">
        <f>_xlfn.XLOOKUP(B58,'Semestre 2'!$D$3:$D$29,'Semestre 2'!$C$3:$C$29,"introuvable")</f>
        <v>10</v>
      </c>
      <c r="E58" s="4">
        <f>IFERROR(IFERROR(SUMIFS('Base de données'!$G:$G, 'Base de données'!A:A, BD_etu_notes_S2_C2!C58, 'Base de données'!$C:$C, BD_etu_notes_S2_C2!A58), 0) / IFERROR(SUMIFS('Base de données'!$E:$E, 'Base de données'!A:A, BD_etu_notes_S2_C2!C58, 'Base de données'!$C:$C, BD_etu_notes_S2_C2!A58), 0),0)</f>
        <v>0</v>
      </c>
    </row>
    <row r="59" spans="1:5" x14ac:dyDescent="0.2">
      <c r="A59" s="4" t="str">
        <f>_xlfn.XLOOKUP(B59,'Semestre 2'!$D$3:$D$29,'Semestre 2'!$B$3:$B$29,"introuvable")</f>
        <v>SAÉ - Estimation par échantillonnage</v>
      </c>
      <c r="B59" s="4" t="s">
        <v>117</v>
      </c>
      <c r="C59" s="2" t="s">
        <v>19</v>
      </c>
      <c r="D59" s="4">
        <f>_xlfn.XLOOKUP(B59,'Semestre 2'!$D$3:$D$29,'Semestre 2'!$C$3:$C$29,"introuvable")</f>
        <v>10</v>
      </c>
      <c r="E59" s="4">
        <f>IFERROR(IFERROR(SUMIFS('Base de données'!$G:$G, 'Base de données'!A:A, BD_etu_notes_S2_C2!C59, 'Base de données'!$C:$C, BD_etu_notes_S2_C2!A59), 0) / IFERROR(SUMIFS('Base de données'!$E:$E, 'Base de données'!A:A, BD_etu_notes_S2_C2!C59, 'Base de données'!$C:$C, BD_etu_notes_S2_C2!A59), 0),0)</f>
        <v>0</v>
      </c>
    </row>
    <row r="60" spans="1:5" x14ac:dyDescent="0.2">
      <c r="A60" s="4" t="str">
        <f>_xlfn.XLOOKUP(B60,'Semestre 2'!$D$3:$D$29,'Semestre 2'!$B$3:$B$29,"introuvable")</f>
        <v>SAÉ - Estimation par échantillonnage</v>
      </c>
      <c r="B60" s="4" t="s">
        <v>117</v>
      </c>
      <c r="C60" s="2" t="s">
        <v>21</v>
      </c>
      <c r="D60" s="4">
        <f>_xlfn.XLOOKUP(B60,'Semestre 2'!$D$3:$D$29,'Semestre 2'!$C$3:$C$29,"introuvable")</f>
        <v>10</v>
      </c>
      <c r="E60" s="4">
        <f>IFERROR(IFERROR(SUMIFS('Base de données'!$G:$G, 'Base de données'!A:A, BD_etu_notes_S2_C2!C60, 'Base de données'!$C:$C, BD_etu_notes_S2_C2!A60), 0) / IFERROR(SUMIFS('Base de données'!$E:$E, 'Base de données'!A:A, BD_etu_notes_S2_C2!C60, 'Base de données'!$C:$C, BD_etu_notes_S2_C2!A60), 0),0)</f>
        <v>0</v>
      </c>
    </row>
    <row r="61" spans="1:5" x14ac:dyDescent="0.2">
      <c r="A61" s="4" t="str">
        <f>_xlfn.XLOOKUP(B61,'Semestre 2'!$D$3:$D$29,'Semestre 2'!$B$3:$B$29,"introuvable")</f>
        <v>SAÉ - Estimation par échantillonnage</v>
      </c>
      <c r="B61" s="4" t="s">
        <v>117</v>
      </c>
      <c r="C61" s="2" t="s">
        <v>24</v>
      </c>
      <c r="D61" s="4">
        <f>_xlfn.XLOOKUP(B61,'Semestre 2'!$D$3:$D$29,'Semestre 2'!$C$3:$C$29,"introuvable")</f>
        <v>10</v>
      </c>
      <c r="E61" s="4">
        <f>IFERROR(IFERROR(SUMIFS('Base de données'!$G:$G, 'Base de données'!A:A, BD_etu_notes_S2_C2!C61, 'Base de données'!$C:$C, BD_etu_notes_S2_C2!A61), 0) / IFERROR(SUMIFS('Base de données'!$E:$E, 'Base de données'!A:A, BD_etu_notes_S2_C2!C61, 'Base de données'!$C:$C, BD_etu_notes_S2_C2!A61), 0),0)</f>
        <v>0</v>
      </c>
    </row>
    <row r="62" spans="1:5" x14ac:dyDescent="0.2">
      <c r="A62" s="4" t="str">
        <f>_xlfn.XLOOKUP(B62,'Semestre 2'!$D$3:$D$29,'Semestre 2'!$B$3:$B$29,"introuvable")</f>
        <v>SAÉ - Estimation par échantillonnage</v>
      </c>
      <c r="B62" s="4" t="s">
        <v>117</v>
      </c>
      <c r="C62" s="2" t="s">
        <v>26</v>
      </c>
      <c r="D62" s="4">
        <f>_xlfn.XLOOKUP(B62,'Semestre 2'!$D$3:$D$29,'Semestre 2'!$C$3:$C$29,"introuvable")</f>
        <v>10</v>
      </c>
      <c r="E62" s="4">
        <f>IFERROR(IFERROR(SUMIFS('Base de données'!$G:$G, 'Base de données'!A:A, BD_etu_notes_S2_C2!C62, 'Base de données'!$C:$C, BD_etu_notes_S2_C2!A62), 0) / IFERROR(SUMIFS('Base de données'!$E:$E, 'Base de données'!A:A, BD_etu_notes_S2_C2!C62, 'Base de données'!$C:$C, BD_etu_notes_S2_C2!A62), 0),0)</f>
        <v>0</v>
      </c>
    </row>
    <row r="63" spans="1:5" x14ac:dyDescent="0.2">
      <c r="A63" s="4" t="str">
        <f>_xlfn.XLOOKUP(B63,'Semestre 2'!$D$3:$D$29,'Semestre 2'!$B$3:$B$29,"introuvable")</f>
        <v>SAÉ - Estimation par échantillonnage</v>
      </c>
      <c r="B63" s="4" t="s">
        <v>117</v>
      </c>
      <c r="C63" s="2" t="s">
        <v>29</v>
      </c>
      <c r="D63" s="4">
        <f>_xlfn.XLOOKUP(B63,'Semestre 2'!$D$3:$D$29,'Semestre 2'!$C$3:$C$29,"introuvable")</f>
        <v>10</v>
      </c>
      <c r="E63" s="4">
        <f>IFERROR(IFERROR(SUMIFS('Base de données'!$G:$G, 'Base de données'!A:A, BD_etu_notes_S2_C2!C63, 'Base de données'!$C:$C, BD_etu_notes_S2_C2!A63), 0) / IFERROR(SUMIFS('Base de données'!$E:$E, 'Base de données'!A:A, BD_etu_notes_S2_C2!C63, 'Base de données'!$C:$C, BD_etu_notes_S2_C2!A63), 0),0)</f>
        <v>0</v>
      </c>
    </row>
    <row r="64" spans="1:5" x14ac:dyDescent="0.2">
      <c r="A64" s="4" t="str">
        <f>_xlfn.XLOOKUP(B64,'Semestre 2'!$D$3:$D$29,'Semestre 2'!$B$3:$B$29,"introuvable")</f>
        <v>SAÉ - Régression sur des données réelles</v>
      </c>
      <c r="B64" s="4" t="s">
        <v>119</v>
      </c>
      <c r="C64" s="2" t="s">
        <v>5</v>
      </c>
      <c r="D64" s="4">
        <f>_xlfn.XLOOKUP(B64,'Semestre 2'!$D$3:$D$29,'Semestre 2'!$C$3:$C$29,"introuvable")</f>
        <v>10</v>
      </c>
      <c r="E64" s="4">
        <f>IFERROR(IFERROR(SUMIFS('Base de données'!$G:$G, 'Base de données'!A:A, BD_etu_notes_S2_C2!C64, 'Base de données'!$C:$C, BD_etu_notes_S2_C2!A64), 0) / IFERROR(SUMIFS('Base de données'!$E:$E, 'Base de données'!A:A, BD_etu_notes_S2_C2!C64, 'Base de données'!$C:$C, BD_etu_notes_S2_C2!A64), 0),0)</f>
        <v>0</v>
      </c>
    </row>
    <row r="65" spans="1:5" x14ac:dyDescent="0.2">
      <c r="A65" s="4" t="str">
        <f>_xlfn.XLOOKUP(B65,'Semestre 2'!$D$3:$D$29,'Semestre 2'!$B$3:$B$29,"introuvable")</f>
        <v>SAÉ - Régression sur des données réelles</v>
      </c>
      <c r="B65" s="4" t="s">
        <v>119</v>
      </c>
      <c r="C65" s="2" t="s">
        <v>9</v>
      </c>
      <c r="D65" s="4">
        <f>_xlfn.XLOOKUP(B65,'Semestre 2'!$D$3:$D$29,'Semestre 2'!$C$3:$C$29,"introuvable")</f>
        <v>10</v>
      </c>
      <c r="E65" s="4">
        <f>IFERROR(IFERROR(SUMIFS('Base de données'!$G:$G, 'Base de données'!A:A, BD_etu_notes_S2_C2!C65, 'Base de données'!$C:$C, BD_etu_notes_S2_C2!A65), 0) / IFERROR(SUMIFS('Base de données'!$E:$E, 'Base de données'!A:A, BD_etu_notes_S2_C2!C65, 'Base de données'!$C:$C, BD_etu_notes_S2_C2!A65), 0),0)</f>
        <v>0</v>
      </c>
    </row>
    <row r="66" spans="1:5" x14ac:dyDescent="0.2">
      <c r="A66" s="4" t="str">
        <f>_xlfn.XLOOKUP(B66,'Semestre 2'!$D$3:$D$29,'Semestre 2'!$B$3:$B$29,"introuvable")</f>
        <v>SAÉ - Régression sur des données réelles</v>
      </c>
      <c r="B66" s="4" t="s">
        <v>119</v>
      </c>
      <c r="C66" s="2" t="s">
        <v>11</v>
      </c>
      <c r="D66" s="4">
        <f>_xlfn.XLOOKUP(B66,'Semestre 2'!$D$3:$D$29,'Semestre 2'!$C$3:$C$29,"introuvable")</f>
        <v>10</v>
      </c>
      <c r="E66" s="4">
        <f>IFERROR(IFERROR(SUMIFS('Base de données'!$G:$G, 'Base de données'!A:A, BD_etu_notes_S2_C2!C66, 'Base de données'!$C:$C, BD_etu_notes_S2_C2!A66), 0) / IFERROR(SUMIFS('Base de données'!$E:$E, 'Base de données'!A:A, BD_etu_notes_S2_C2!C66, 'Base de données'!$C:$C, BD_etu_notes_S2_C2!A66), 0),0)</f>
        <v>0</v>
      </c>
    </row>
    <row r="67" spans="1:5" x14ac:dyDescent="0.2">
      <c r="A67" s="4" t="str">
        <f>_xlfn.XLOOKUP(B67,'Semestre 2'!$D$3:$D$29,'Semestre 2'!$B$3:$B$29,"introuvable")</f>
        <v>SAÉ - Régression sur des données réelles</v>
      </c>
      <c r="B67" s="4" t="s">
        <v>119</v>
      </c>
      <c r="C67" s="2" t="s">
        <v>14</v>
      </c>
      <c r="D67" s="4">
        <f>_xlfn.XLOOKUP(B67,'Semestre 2'!$D$3:$D$29,'Semestre 2'!$C$3:$C$29,"introuvable")</f>
        <v>10</v>
      </c>
      <c r="E67" s="4">
        <f>IFERROR(IFERROR(SUMIFS('Base de données'!$G:$G, 'Base de données'!A:A, BD_etu_notes_S2_C2!C67, 'Base de données'!$C:$C, BD_etu_notes_S2_C2!A67), 0) / IFERROR(SUMIFS('Base de données'!$E:$E, 'Base de données'!A:A, BD_etu_notes_S2_C2!C67, 'Base de données'!$C:$C, BD_etu_notes_S2_C2!A67), 0),0)</f>
        <v>0</v>
      </c>
    </row>
    <row r="68" spans="1:5" x14ac:dyDescent="0.2">
      <c r="A68" s="4" t="str">
        <f>_xlfn.XLOOKUP(B68,'Semestre 2'!$D$3:$D$29,'Semestre 2'!$B$3:$B$29,"introuvable")</f>
        <v>SAÉ - Régression sur des données réelles</v>
      </c>
      <c r="B68" s="4" t="s">
        <v>119</v>
      </c>
      <c r="C68" s="2" t="s">
        <v>16</v>
      </c>
      <c r="D68" s="4">
        <f>_xlfn.XLOOKUP(B68,'Semestre 2'!$D$3:$D$29,'Semestre 2'!$C$3:$C$29,"introuvable")</f>
        <v>10</v>
      </c>
      <c r="E68" s="4">
        <f>IFERROR(IFERROR(SUMIFS('Base de données'!$G:$G, 'Base de données'!A:A, BD_etu_notes_S2_C2!C68, 'Base de données'!$C:$C, BD_etu_notes_S2_C2!A68), 0) / IFERROR(SUMIFS('Base de données'!$E:$E, 'Base de données'!A:A, BD_etu_notes_S2_C2!C68, 'Base de données'!$C:$C, BD_etu_notes_S2_C2!A68), 0),0)</f>
        <v>0</v>
      </c>
    </row>
    <row r="69" spans="1:5" x14ac:dyDescent="0.2">
      <c r="A69" s="4" t="str">
        <f>_xlfn.XLOOKUP(B69,'Semestre 2'!$D$3:$D$29,'Semestre 2'!$B$3:$B$29,"introuvable")</f>
        <v>SAÉ - Régression sur des données réelles</v>
      </c>
      <c r="B69" s="4" t="s">
        <v>119</v>
      </c>
      <c r="C69" s="2" t="s">
        <v>19</v>
      </c>
      <c r="D69" s="4">
        <f>_xlfn.XLOOKUP(B69,'Semestre 2'!$D$3:$D$29,'Semestre 2'!$C$3:$C$29,"introuvable")</f>
        <v>10</v>
      </c>
      <c r="E69" s="4">
        <f>IFERROR(IFERROR(SUMIFS('Base de données'!$G:$G, 'Base de données'!A:A, BD_etu_notes_S2_C2!C69, 'Base de données'!$C:$C, BD_etu_notes_S2_C2!A69), 0) / IFERROR(SUMIFS('Base de données'!$E:$E, 'Base de données'!A:A, BD_etu_notes_S2_C2!C69, 'Base de données'!$C:$C, BD_etu_notes_S2_C2!A69), 0),0)</f>
        <v>0</v>
      </c>
    </row>
    <row r="70" spans="1:5" x14ac:dyDescent="0.2">
      <c r="A70" s="4" t="str">
        <f>_xlfn.XLOOKUP(B70,'Semestre 2'!$D$3:$D$29,'Semestre 2'!$B$3:$B$29,"introuvable")</f>
        <v>SAÉ - Régression sur des données réelles</v>
      </c>
      <c r="B70" s="4" t="s">
        <v>119</v>
      </c>
      <c r="C70" s="2" t="s">
        <v>21</v>
      </c>
      <c r="D70" s="4">
        <f>_xlfn.XLOOKUP(B70,'Semestre 2'!$D$3:$D$29,'Semestre 2'!$C$3:$C$29,"introuvable")</f>
        <v>10</v>
      </c>
      <c r="E70" s="4">
        <f>IFERROR(IFERROR(SUMIFS('Base de données'!$G:$G, 'Base de données'!A:A, BD_etu_notes_S2_C2!C70, 'Base de données'!$C:$C, BD_etu_notes_S2_C2!A70), 0) / IFERROR(SUMIFS('Base de données'!$E:$E, 'Base de données'!A:A, BD_etu_notes_S2_C2!C70, 'Base de données'!$C:$C, BD_etu_notes_S2_C2!A70), 0),0)</f>
        <v>0</v>
      </c>
    </row>
    <row r="71" spans="1:5" x14ac:dyDescent="0.2">
      <c r="A71" s="4" t="str">
        <f>_xlfn.XLOOKUP(B71,'Semestre 2'!$D$3:$D$29,'Semestre 2'!$B$3:$B$29,"introuvable")</f>
        <v>SAÉ - Régression sur des données réelles</v>
      </c>
      <c r="B71" s="4" t="s">
        <v>119</v>
      </c>
      <c r="C71" s="2" t="s">
        <v>24</v>
      </c>
      <c r="D71" s="4">
        <f>_xlfn.XLOOKUP(B71,'Semestre 2'!$D$3:$D$29,'Semestre 2'!$C$3:$C$29,"introuvable")</f>
        <v>10</v>
      </c>
      <c r="E71" s="4">
        <f>IFERROR(IFERROR(SUMIFS('Base de données'!$G:$G, 'Base de données'!A:A, BD_etu_notes_S2_C2!C71, 'Base de données'!$C:$C, BD_etu_notes_S2_C2!A71), 0) / IFERROR(SUMIFS('Base de données'!$E:$E, 'Base de données'!A:A, BD_etu_notes_S2_C2!C71, 'Base de données'!$C:$C, BD_etu_notes_S2_C2!A71), 0),0)</f>
        <v>0</v>
      </c>
    </row>
    <row r="72" spans="1:5" x14ac:dyDescent="0.2">
      <c r="A72" s="4" t="str">
        <f>_xlfn.XLOOKUP(B72,'Semestre 2'!$D$3:$D$29,'Semestre 2'!$B$3:$B$29,"introuvable")</f>
        <v>SAÉ - Régression sur des données réelles</v>
      </c>
      <c r="B72" s="4" t="s">
        <v>119</v>
      </c>
      <c r="C72" s="2" t="s">
        <v>26</v>
      </c>
      <c r="D72" s="4">
        <f>_xlfn.XLOOKUP(B72,'Semestre 2'!$D$3:$D$29,'Semestre 2'!$C$3:$C$29,"introuvable")</f>
        <v>10</v>
      </c>
      <c r="E72" s="4">
        <f>IFERROR(IFERROR(SUMIFS('Base de données'!$G:$G, 'Base de données'!A:A, BD_etu_notes_S2_C2!C72, 'Base de données'!$C:$C, BD_etu_notes_S2_C2!A72), 0) / IFERROR(SUMIFS('Base de données'!$E:$E, 'Base de données'!A:A, BD_etu_notes_S2_C2!C72, 'Base de données'!$C:$C, BD_etu_notes_S2_C2!A72), 0),0)</f>
        <v>0</v>
      </c>
    </row>
    <row r="73" spans="1:5" x14ac:dyDescent="0.2">
      <c r="A73" s="4" t="str">
        <f>_xlfn.XLOOKUP(B73,'Semestre 2'!$D$3:$D$29,'Semestre 2'!$B$3:$B$29,"introuvable")</f>
        <v>SAÉ - Régression sur des données réelles</v>
      </c>
      <c r="B73" s="4" t="s">
        <v>119</v>
      </c>
      <c r="C73" s="2" t="s">
        <v>29</v>
      </c>
      <c r="D73" s="4">
        <f>_xlfn.XLOOKUP(B73,'Semestre 2'!$D$3:$D$29,'Semestre 2'!$C$3:$C$29,"introuvable")</f>
        <v>10</v>
      </c>
      <c r="E73" s="4">
        <f>IFERROR(IFERROR(SUMIFS('Base de données'!$G:$G, 'Base de données'!A:A, BD_etu_notes_S2_C2!C73, 'Base de données'!$C:$C, BD_etu_notes_S2_C2!A73), 0) / IFERROR(SUMIFS('Base de données'!$E:$E, 'Base de données'!A:A, BD_etu_notes_S2_C2!C73, 'Base de données'!$C:$C, BD_etu_notes_S2_C2!A73), 0),0)</f>
        <v>0</v>
      </c>
    </row>
    <row r="74" spans="1:5" x14ac:dyDescent="0.2">
      <c r="A74" s="4" t="str">
        <f>_xlfn.XLOOKUP(B74,'Semestre 2'!$D$3:$D$29,'Semestre 2'!$B$3:$B$29,"introuvable")</f>
        <v>SAÉ - Datavisualisation</v>
      </c>
      <c r="B74" s="4" t="s">
        <v>120</v>
      </c>
      <c r="C74" s="2" t="s">
        <v>5</v>
      </c>
      <c r="D74" s="4">
        <f>_xlfn.XLOOKUP(B74,'Semestre 2'!$D$3:$D$29,'Semestre 2'!$C$3:$C$29,"introuvable")</f>
        <v>5</v>
      </c>
      <c r="E74" s="4">
        <f>IFERROR(IFERROR(SUMIFS('Base de données'!$G:$G, 'Base de données'!A:A, BD_etu_notes_S2_C2!C74, 'Base de données'!$C:$C, BD_etu_notes_S2_C2!A74), 0) / IFERROR(SUMIFS('Base de données'!$E:$E, 'Base de données'!A:A, BD_etu_notes_S2_C2!C74, 'Base de données'!$C:$C, BD_etu_notes_S2_C2!A74), 0),0)</f>
        <v>11</v>
      </c>
    </row>
    <row r="75" spans="1:5" x14ac:dyDescent="0.2">
      <c r="A75" s="4" t="str">
        <f>_xlfn.XLOOKUP(B75,'Semestre 2'!$D$3:$D$29,'Semestre 2'!$B$3:$B$29,"introuvable")</f>
        <v>SAÉ - Datavisualisation</v>
      </c>
      <c r="B75" s="4" t="s">
        <v>120</v>
      </c>
      <c r="C75" s="2" t="s">
        <v>9</v>
      </c>
      <c r="D75" s="4">
        <f>_xlfn.XLOOKUP(B75,'Semestre 2'!$D$3:$D$29,'Semestre 2'!$C$3:$C$29,"introuvable")</f>
        <v>5</v>
      </c>
      <c r="E75" s="4">
        <f>IFERROR(IFERROR(SUMIFS('Base de données'!$G:$G, 'Base de données'!A:A, BD_etu_notes_S2_C2!C75, 'Base de données'!$C:$C, BD_etu_notes_S2_C2!A75), 0) / IFERROR(SUMIFS('Base de données'!$E:$E, 'Base de données'!A:A, BD_etu_notes_S2_C2!C75, 'Base de données'!$C:$C, BD_etu_notes_S2_C2!A75), 0),0)</f>
        <v>13.5</v>
      </c>
    </row>
    <row r="76" spans="1:5" x14ac:dyDescent="0.2">
      <c r="A76" s="4" t="str">
        <f>_xlfn.XLOOKUP(B76,'Semestre 2'!$D$3:$D$29,'Semestre 2'!$B$3:$B$29,"introuvable")</f>
        <v>SAÉ - Datavisualisation</v>
      </c>
      <c r="B76" s="4" t="s">
        <v>120</v>
      </c>
      <c r="C76" s="2" t="s">
        <v>11</v>
      </c>
      <c r="D76" s="4">
        <f>_xlfn.XLOOKUP(B76,'Semestre 2'!$D$3:$D$29,'Semestre 2'!$C$3:$C$29,"introuvable")</f>
        <v>5</v>
      </c>
      <c r="E76" s="4">
        <f>IFERROR(IFERROR(SUMIFS('Base de données'!$G:$G, 'Base de données'!A:A, BD_etu_notes_S2_C2!C76, 'Base de données'!$C:$C, BD_etu_notes_S2_C2!A76), 0) / IFERROR(SUMIFS('Base de données'!$E:$E, 'Base de données'!A:A, BD_etu_notes_S2_C2!C76, 'Base de données'!$C:$C, BD_etu_notes_S2_C2!A76), 0),0)</f>
        <v>12</v>
      </c>
    </row>
    <row r="77" spans="1:5" x14ac:dyDescent="0.2">
      <c r="A77" s="4" t="str">
        <f>_xlfn.XLOOKUP(B77,'Semestre 2'!$D$3:$D$29,'Semestre 2'!$B$3:$B$29,"introuvable")</f>
        <v>SAÉ - Datavisualisation</v>
      </c>
      <c r="B77" s="4" t="s">
        <v>120</v>
      </c>
      <c r="C77" s="2" t="s">
        <v>14</v>
      </c>
      <c r="D77" s="4">
        <f>_xlfn.XLOOKUP(B77,'Semestre 2'!$D$3:$D$29,'Semestre 2'!$C$3:$C$29,"introuvable")</f>
        <v>5</v>
      </c>
      <c r="E77" s="4">
        <f>IFERROR(IFERROR(SUMIFS('Base de données'!$G:$G, 'Base de données'!A:A, BD_etu_notes_S2_C2!C77, 'Base de données'!$C:$C, BD_etu_notes_S2_C2!A77), 0) / IFERROR(SUMIFS('Base de données'!$E:$E, 'Base de données'!A:A, BD_etu_notes_S2_C2!C77, 'Base de données'!$C:$C, BD_etu_notes_S2_C2!A77), 0),0)</f>
        <v>10</v>
      </c>
    </row>
    <row r="78" spans="1:5" x14ac:dyDescent="0.2">
      <c r="A78" s="4" t="str">
        <f>_xlfn.XLOOKUP(B78,'Semestre 2'!$D$3:$D$29,'Semestre 2'!$B$3:$B$29,"introuvable")</f>
        <v>SAÉ - Datavisualisation</v>
      </c>
      <c r="B78" s="4" t="s">
        <v>120</v>
      </c>
      <c r="C78" s="2" t="s">
        <v>16</v>
      </c>
      <c r="D78" s="4">
        <f>_xlfn.XLOOKUP(B78,'Semestre 2'!$D$3:$D$29,'Semestre 2'!$C$3:$C$29,"introuvable")</f>
        <v>5</v>
      </c>
      <c r="E78" s="4">
        <f>IFERROR(IFERROR(SUMIFS('Base de données'!$G:$G, 'Base de données'!A:A, BD_etu_notes_S2_C2!C78, 'Base de données'!$C:$C, BD_etu_notes_S2_C2!A78), 0) / IFERROR(SUMIFS('Base de données'!$E:$E, 'Base de données'!A:A, BD_etu_notes_S2_C2!C78, 'Base de données'!$C:$C, BD_etu_notes_S2_C2!A78), 0),0)</f>
        <v>14.5</v>
      </c>
    </row>
    <row r="79" spans="1:5" x14ac:dyDescent="0.2">
      <c r="A79" s="4" t="str">
        <f>_xlfn.XLOOKUP(B79,'Semestre 2'!$D$3:$D$29,'Semestre 2'!$B$3:$B$29,"introuvable")</f>
        <v>SAÉ - Datavisualisation</v>
      </c>
      <c r="B79" s="4" t="s">
        <v>120</v>
      </c>
      <c r="C79" s="2" t="s">
        <v>19</v>
      </c>
      <c r="D79" s="4">
        <f>_xlfn.XLOOKUP(B79,'Semestre 2'!$D$3:$D$29,'Semestre 2'!$C$3:$C$29,"introuvable")</f>
        <v>5</v>
      </c>
      <c r="E79" s="4">
        <f>IFERROR(IFERROR(SUMIFS('Base de données'!$G:$G, 'Base de données'!A:A, BD_etu_notes_S2_C2!C79, 'Base de données'!$C:$C, BD_etu_notes_S2_C2!A79), 0) / IFERROR(SUMIFS('Base de données'!$E:$E, 'Base de données'!A:A, BD_etu_notes_S2_C2!C79, 'Base de données'!$C:$C, BD_etu_notes_S2_C2!A79), 0),0)</f>
        <v>10.5</v>
      </c>
    </row>
    <row r="80" spans="1:5" x14ac:dyDescent="0.2">
      <c r="A80" s="4" t="str">
        <f>_xlfn.XLOOKUP(B80,'Semestre 2'!$D$3:$D$29,'Semestre 2'!$B$3:$B$29,"introuvable")</f>
        <v>SAÉ - Datavisualisation</v>
      </c>
      <c r="B80" s="4" t="s">
        <v>120</v>
      </c>
      <c r="C80" s="2" t="s">
        <v>21</v>
      </c>
      <c r="D80" s="4">
        <f>_xlfn.XLOOKUP(B80,'Semestre 2'!$D$3:$D$29,'Semestre 2'!$C$3:$C$29,"introuvable")</f>
        <v>5</v>
      </c>
      <c r="E80" s="4">
        <f>IFERROR(IFERROR(SUMIFS('Base de données'!$G:$G, 'Base de données'!A:A, BD_etu_notes_S2_C2!C80, 'Base de données'!$C:$C, BD_etu_notes_S2_C2!A80), 0) / IFERROR(SUMIFS('Base de données'!$E:$E, 'Base de données'!A:A, BD_etu_notes_S2_C2!C80, 'Base de données'!$C:$C, BD_etu_notes_S2_C2!A80), 0),0)</f>
        <v>15</v>
      </c>
    </row>
    <row r="81" spans="1:5" x14ac:dyDescent="0.2">
      <c r="A81" s="4" t="str">
        <f>_xlfn.XLOOKUP(B81,'Semestre 2'!$D$3:$D$29,'Semestre 2'!$B$3:$B$29,"introuvable")</f>
        <v>SAÉ - Datavisualisation</v>
      </c>
      <c r="B81" s="4" t="s">
        <v>120</v>
      </c>
      <c r="C81" s="2" t="s">
        <v>24</v>
      </c>
      <c r="D81" s="4">
        <f>_xlfn.XLOOKUP(B81,'Semestre 2'!$D$3:$D$29,'Semestre 2'!$C$3:$C$29,"introuvable")</f>
        <v>5</v>
      </c>
      <c r="E81" s="4">
        <f>IFERROR(IFERROR(SUMIFS('Base de données'!$G:$G, 'Base de données'!A:A, BD_etu_notes_S2_C2!C81, 'Base de données'!$C:$C, BD_etu_notes_S2_C2!A81), 0) / IFERROR(SUMIFS('Base de données'!$E:$E, 'Base de données'!A:A, BD_etu_notes_S2_C2!C81, 'Base de données'!$C:$C, BD_etu_notes_S2_C2!A81), 0),0)</f>
        <v>14.5</v>
      </c>
    </row>
    <row r="82" spans="1:5" x14ac:dyDescent="0.2">
      <c r="A82" s="4" t="str">
        <f>_xlfn.XLOOKUP(B82,'Semestre 2'!$D$3:$D$29,'Semestre 2'!$B$3:$B$29,"introuvable")</f>
        <v>SAÉ - Datavisualisation</v>
      </c>
      <c r="B82" s="4" t="s">
        <v>120</v>
      </c>
      <c r="C82" s="2" t="s">
        <v>26</v>
      </c>
      <c r="D82" s="4">
        <f>_xlfn.XLOOKUP(B82,'Semestre 2'!$D$3:$D$29,'Semestre 2'!$C$3:$C$29,"introuvable")</f>
        <v>5</v>
      </c>
      <c r="E82" s="4">
        <f>IFERROR(IFERROR(SUMIFS('Base de données'!$G:$G, 'Base de données'!A:A, BD_etu_notes_S2_C2!C82, 'Base de données'!$C:$C, BD_etu_notes_S2_C2!A82), 0) / IFERROR(SUMIFS('Base de données'!$E:$E, 'Base de données'!A:A, BD_etu_notes_S2_C2!C82, 'Base de données'!$C:$C, BD_etu_notes_S2_C2!A82), 0),0)</f>
        <v>14</v>
      </c>
    </row>
    <row r="83" spans="1:5" x14ac:dyDescent="0.2">
      <c r="A83" s="4" t="str">
        <f>_xlfn.XLOOKUP(B83,'Semestre 2'!$D$3:$D$29,'Semestre 2'!$B$3:$B$29,"introuvable")</f>
        <v>SAÉ - Datavisualisation</v>
      </c>
      <c r="B83" s="4" t="s">
        <v>120</v>
      </c>
      <c r="C83" s="2" t="s">
        <v>29</v>
      </c>
      <c r="D83" s="4">
        <f>_xlfn.XLOOKUP(B83,'Semestre 2'!$D$3:$D$29,'Semestre 2'!$C$3:$C$29,"introuvable")</f>
        <v>5</v>
      </c>
      <c r="E83" s="4">
        <f>IFERROR(IFERROR(SUMIFS('Base de données'!$G:$G, 'Base de données'!A:A, BD_etu_notes_S2_C2!C83, 'Base de données'!$C:$C, BD_etu_notes_S2_C2!A83), 0) / IFERROR(SUMIFS('Base de données'!$E:$E, 'Base de données'!A:A, BD_etu_notes_S2_C2!C83, 'Base de données'!$C:$C, BD_etu_notes_S2_C2!A83), 0),0)</f>
        <v>12.5</v>
      </c>
    </row>
    <row r="84" spans="1:5" x14ac:dyDescent="0.2">
      <c r="A84" s="4" t="str">
        <f>_xlfn.XLOOKUP(B84,'Semestre 2'!$D$3:$D$29,'Semestre 2'!$B$3:$B$29,"introuvable")</f>
        <v>SAÉ - Analyse de données, reporting et datavisualisation</v>
      </c>
      <c r="B84" s="4" t="s">
        <v>121</v>
      </c>
      <c r="C84" s="2" t="s">
        <v>5</v>
      </c>
      <c r="D84" s="4">
        <f>_xlfn.XLOOKUP(B84,'Semestre 2'!$D$3:$D$29,'Semestre 2'!$C$3:$C$29,"introuvable")</f>
        <v>10</v>
      </c>
      <c r="E84" s="4">
        <f>IFERROR(IFERROR(SUMIFS('Base de données'!$G:$G, 'Base de données'!A:A, BD_etu_notes_S2_C2!C84, 'Base de données'!$C:$C, BD_etu_notes_S2_C2!A84), 0) / IFERROR(SUMIFS('Base de données'!$E:$E, 'Base de données'!A:A, BD_etu_notes_S2_C2!C84, 'Base de données'!$C:$C, BD_etu_notes_S2_C2!A84), 0),0)</f>
        <v>17.5</v>
      </c>
    </row>
    <row r="85" spans="1:5" x14ac:dyDescent="0.2">
      <c r="A85" s="4" t="str">
        <f>_xlfn.XLOOKUP(B85,'Semestre 2'!$D$3:$D$29,'Semestre 2'!$B$3:$B$29,"introuvable")</f>
        <v>SAÉ - Analyse de données, reporting et datavisualisation</v>
      </c>
      <c r="B85" s="4" t="s">
        <v>121</v>
      </c>
      <c r="C85" s="2" t="s">
        <v>9</v>
      </c>
      <c r="D85" s="4">
        <f>_xlfn.XLOOKUP(B85,'Semestre 2'!$D$3:$D$29,'Semestre 2'!$C$3:$C$29,"introuvable")</f>
        <v>10</v>
      </c>
      <c r="E85" s="4">
        <f>IFERROR(IFERROR(SUMIFS('Base de données'!$G:$G, 'Base de données'!A:A, BD_etu_notes_S2_C2!C85, 'Base de données'!$C:$C, BD_etu_notes_S2_C2!A85), 0) / IFERROR(SUMIFS('Base de données'!$E:$E, 'Base de données'!A:A, BD_etu_notes_S2_C2!C85, 'Base de données'!$C:$C, BD_etu_notes_S2_C2!A85), 0),0)</f>
        <v>18</v>
      </c>
    </row>
    <row r="86" spans="1:5" x14ac:dyDescent="0.2">
      <c r="A86" s="4" t="str">
        <f>_xlfn.XLOOKUP(B86,'Semestre 2'!$D$3:$D$29,'Semestre 2'!$B$3:$B$29,"introuvable")</f>
        <v>SAÉ - Analyse de données, reporting et datavisualisation</v>
      </c>
      <c r="B86" s="4" t="s">
        <v>121</v>
      </c>
      <c r="C86" s="2" t="s">
        <v>11</v>
      </c>
      <c r="D86" s="4">
        <f>_xlfn.XLOOKUP(B86,'Semestre 2'!$D$3:$D$29,'Semestre 2'!$C$3:$C$29,"introuvable")</f>
        <v>10</v>
      </c>
      <c r="E86" s="4">
        <f>IFERROR(IFERROR(SUMIFS('Base de données'!$G:$G, 'Base de données'!A:A, BD_etu_notes_S2_C2!C86, 'Base de données'!$C:$C, BD_etu_notes_S2_C2!A86), 0) / IFERROR(SUMIFS('Base de données'!$E:$E, 'Base de données'!A:A, BD_etu_notes_S2_C2!C86, 'Base de données'!$C:$C, BD_etu_notes_S2_C2!A86), 0),0)</f>
        <v>19</v>
      </c>
    </row>
    <row r="87" spans="1:5" x14ac:dyDescent="0.2">
      <c r="A87" s="4" t="str">
        <f>_xlfn.XLOOKUP(B87,'Semestre 2'!$D$3:$D$29,'Semestre 2'!$B$3:$B$29,"introuvable")</f>
        <v>SAÉ - Analyse de données, reporting et datavisualisation</v>
      </c>
      <c r="B87" s="4" t="s">
        <v>121</v>
      </c>
      <c r="C87" s="2" t="s">
        <v>14</v>
      </c>
      <c r="D87" s="4">
        <f>_xlfn.XLOOKUP(B87,'Semestre 2'!$D$3:$D$29,'Semestre 2'!$C$3:$C$29,"introuvable")</f>
        <v>10</v>
      </c>
      <c r="E87" s="4">
        <f>IFERROR(IFERROR(SUMIFS('Base de données'!$G:$G, 'Base de données'!A:A, BD_etu_notes_S2_C2!C87, 'Base de données'!$C:$C, BD_etu_notes_S2_C2!A87), 0) / IFERROR(SUMIFS('Base de données'!$E:$E, 'Base de données'!A:A, BD_etu_notes_S2_C2!C87, 'Base de données'!$C:$C, BD_etu_notes_S2_C2!A87), 0),0)</f>
        <v>17</v>
      </c>
    </row>
    <row r="88" spans="1:5" x14ac:dyDescent="0.2">
      <c r="A88" s="4" t="str">
        <f>_xlfn.XLOOKUP(B88,'Semestre 2'!$D$3:$D$29,'Semestre 2'!$B$3:$B$29,"introuvable")</f>
        <v>SAÉ - Analyse de données, reporting et datavisualisation</v>
      </c>
      <c r="B88" s="4" t="s">
        <v>121</v>
      </c>
      <c r="C88" s="2" t="s">
        <v>16</v>
      </c>
      <c r="D88" s="4">
        <f>_xlfn.XLOOKUP(B88,'Semestre 2'!$D$3:$D$29,'Semestre 2'!$C$3:$C$29,"introuvable")</f>
        <v>10</v>
      </c>
      <c r="E88" s="4">
        <f>IFERROR(IFERROR(SUMIFS('Base de données'!$G:$G, 'Base de données'!A:A, BD_etu_notes_S2_C2!C88, 'Base de données'!$C:$C, BD_etu_notes_S2_C2!A88), 0) / IFERROR(SUMIFS('Base de données'!$E:$E, 'Base de données'!A:A, BD_etu_notes_S2_C2!C88, 'Base de données'!$C:$C, BD_etu_notes_S2_C2!A88), 0),0)</f>
        <v>19.5</v>
      </c>
    </row>
    <row r="89" spans="1:5" x14ac:dyDescent="0.2">
      <c r="A89" s="4" t="str">
        <f>_xlfn.XLOOKUP(B89,'Semestre 2'!$D$3:$D$29,'Semestre 2'!$B$3:$B$29,"introuvable")</f>
        <v>SAÉ - Analyse de données, reporting et datavisualisation</v>
      </c>
      <c r="B89" s="4" t="s">
        <v>121</v>
      </c>
      <c r="C89" s="2" t="s">
        <v>19</v>
      </c>
      <c r="D89" s="4">
        <f>_xlfn.XLOOKUP(B89,'Semestre 2'!$D$3:$D$29,'Semestre 2'!$C$3:$C$29,"introuvable")</f>
        <v>10</v>
      </c>
      <c r="E89" s="4">
        <f>IFERROR(IFERROR(SUMIFS('Base de données'!$G:$G, 'Base de données'!A:A, BD_etu_notes_S2_C2!C89, 'Base de données'!$C:$C, BD_etu_notes_S2_C2!A89), 0) / IFERROR(SUMIFS('Base de données'!$E:$E, 'Base de données'!A:A, BD_etu_notes_S2_C2!C89, 'Base de données'!$C:$C, BD_etu_notes_S2_C2!A89), 0),0)</f>
        <v>18.5</v>
      </c>
    </row>
    <row r="90" spans="1:5" x14ac:dyDescent="0.2">
      <c r="A90" s="4" t="str">
        <f>_xlfn.XLOOKUP(B90,'Semestre 2'!$D$3:$D$29,'Semestre 2'!$B$3:$B$29,"introuvable")</f>
        <v>SAÉ - Analyse de données, reporting et datavisualisation</v>
      </c>
      <c r="B90" s="4" t="s">
        <v>121</v>
      </c>
      <c r="C90" s="2" t="s">
        <v>21</v>
      </c>
      <c r="D90" s="4">
        <f>_xlfn.XLOOKUP(B90,'Semestre 2'!$D$3:$D$29,'Semestre 2'!$C$3:$C$29,"introuvable")</f>
        <v>10</v>
      </c>
      <c r="E90" s="4">
        <f>IFERROR(IFERROR(SUMIFS('Base de données'!$G:$G, 'Base de données'!A:A, BD_etu_notes_S2_C2!C90, 'Base de données'!$C:$C, BD_etu_notes_S2_C2!A90), 0) / IFERROR(SUMIFS('Base de données'!$E:$E, 'Base de données'!A:A, BD_etu_notes_S2_C2!C90, 'Base de données'!$C:$C, BD_etu_notes_S2_C2!A90), 0),0)</f>
        <v>16.5</v>
      </c>
    </row>
    <row r="91" spans="1:5" x14ac:dyDescent="0.2">
      <c r="A91" s="4" t="str">
        <f>_xlfn.XLOOKUP(B91,'Semestre 2'!$D$3:$D$29,'Semestre 2'!$B$3:$B$29,"introuvable")</f>
        <v>SAÉ - Analyse de données, reporting et datavisualisation</v>
      </c>
      <c r="B91" s="4" t="s">
        <v>121</v>
      </c>
      <c r="C91" s="2" t="s">
        <v>24</v>
      </c>
      <c r="D91" s="4">
        <f>_xlfn.XLOOKUP(B91,'Semestre 2'!$D$3:$D$29,'Semestre 2'!$C$3:$C$29,"introuvable")</f>
        <v>10</v>
      </c>
      <c r="E91" s="4">
        <f>IFERROR(IFERROR(SUMIFS('Base de données'!$G:$G, 'Base de données'!A:A, BD_etu_notes_S2_C2!C91, 'Base de données'!$C:$C, BD_etu_notes_S2_C2!A91), 0) / IFERROR(SUMIFS('Base de données'!$E:$E, 'Base de données'!A:A, BD_etu_notes_S2_C2!C91, 'Base de données'!$C:$C, BD_etu_notes_S2_C2!A91), 0),0)</f>
        <v>16</v>
      </c>
    </row>
    <row r="92" spans="1:5" x14ac:dyDescent="0.2">
      <c r="A92" s="4" t="str">
        <f>_xlfn.XLOOKUP(B92,'Semestre 2'!$D$3:$D$29,'Semestre 2'!$B$3:$B$29,"introuvable")</f>
        <v>SAÉ - Analyse de données, reporting et datavisualisation</v>
      </c>
      <c r="B92" s="4" t="s">
        <v>121</v>
      </c>
      <c r="C92" s="2" t="s">
        <v>26</v>
      </c>
      <c r="D92" s="4">
        <f>_xlfn.XLOOKUP(B92,'Semestre 2'!$D$3:$D$29,'Semestre 2'!$C$3:$C$29,"introuvable")</f>
        <v>10</v>
      </c>
      <c r="E92" s="4">
        <f>IFERROR(IFERROR(SUMIFS('Base de données'!$G:$G, 'Base de données'!A:A, BD_etu_notes_S2_C2!C92, 'Base de données'!$C:$C, BD_etu_notes_S2_C2!A92), 0) / IFERROR(SUMIFS('Base de données'!$E:$E, 'Base de données'!A:A, BD_etu_notes_S2_C2!C92, 'Base de données'!$C:$C, BD_etu_notes_S2_C2!A92), 0),0)</f>
        <v>17.5</v>
      </c>
    </row>
    <row r="93" spans="1:5" x14ac:dyDescent="0.2">
      <c r="A93" s="4" t="str">
        <f>_xlfn.XLOOKUP(B93,'Semestre 2'!$D$3:$D$29,'Semestre 2'!$B$3:$B$29,"introuvable")</f>
        <v>SAÉ - Analyse de données, reporting et datavisualisation</v>
      </c>
      <c r="B93" s="4" t="s">
        <v>121</v>
      </c>
      <c r="C93" s="2" t="s">
        <v>29</v>
      </c>
      <c r="D93" s="4">
        <f>_xlfn.XLOOKUP(B93,'Semestre 2'!$D$3:$D$29,'Semestre 2'!$C$3:$C$29,"introuvable")</f>
        <v>10</v>
      </c>
      <c r="E93" s="4">
        <f>IFERROR(IFERROR(SUMIFS('Base de données'!$G:$G, 'Base de données'!A:A, BD_etu_notes_S2_C2!C93, 'Base de données'!$C:$C, BD_etu_notes_S2_C2!A93), 0) / IFERROR(SUMIFS('Base de données'!$E:$E, 'Base de données'!A:A, BD_etu_notes_S2_C2!C93, 'Base de données'!$C:$C, BD_etu_notes_S2_C2!A93), 0),0)</f>
        <v>17</v>
      </c>
    </row>
    <row r="94" spans="1:5" x14ac:dyDescent="0.2">
      <c r="A94" s="4" t="str">
        <f>_xlfn.XLOOKUP(B94,'Semestre 2'!$D$3:$D$29,'Semestre 2'!$B$3:$B$29,"introuvable")</f>
        <v>SAÉ - Portfolio</v>
      </c>
      <c r="B94" s="4" t="s">
        <v>122</v>
      </c>
      <c r="C94" s="2" t="s">
        <v>5</v>
      </c>
      <c r="D94" s="4">
        <f>_xlfn.XLOOKUP(B94,'Semestre 2'!$D$3:$D$29,'Semestre 2'!$C$3:$C$29,"introuvable")</f>
        <v>5</v>
      </c>
      <c r="E94" s="4">
        <f>IFERROR(IFERROR(SUMIFS('Base de données'!$G:$G, 'Base de données'!A:A, BD_etu_notes_S2_C2!C94, 'Base de données'!$C:$C, BD_etu_notes_S2_C2!A94), 0) / IFERROR(SUMIFS('Base de données'!$E:$E, 'Base de données'!A:A, BD_etu_notes_S2_C2!C94, 'Base de données'!$C:$C, BD_etu_notes_S2_C2!A94), 0),0)</f>
        <v>13.5</v>
      </c>
    </row>
    <row r="95" spans="1:5" x14ac:dyDescent="0.2">
      <c r="A95" s="4" t="str">
        <f>_xlfn.XLOOKUP(B95,'Semestre 2'!$D$3:$D$29,'Semestre 2'!$B$3:$B$29,"introuvable")</f>
        <v>SAÉ - Portfolio</v>
      </c>
      <c r="B95" s="4" t="s">
        <v>122</v>
      </c>
      <c r="C95" s="2" t="s">
        <v>9</v>
      </c>
      <c r="D95" s="4">
        <f>_xlfn.XLOOKUP(B95,'Semestre 2'!$D$3:$D$29,'Semestre 2'!$C$3:$C$29,"introuvable")</f>
        <v>5</v>
      </c>
      <c r="E95" s="4">
        <f>IFERROR(IFERROR(SUMIFS('Base de données'!$G:$G, 'Base de données'!A:A, BD_etu_notes_S2_C2!C95, 'Base de données'!$C:$C, BD_etu_notes_S2_C2!A95), 0) / IFERROR(SUMIFS('Base de données'!$E:$E, 'Base de données'!A:A, BD_etu_notes_S2_C2!C95, 'Base de données'!$C:$C, BD_etu_notes_S2_C2!A95), 0),0)</f>
        <v>11</v>
      </c>
    </row>
    <row r="96" spans="1:5" x14ac:dyDescent="0.2">
      <c r="A96" s="4" t="str">
        <f>_xlfn.XLOOKUP(B96,'Semestre 2'!$D$3:$D$29,'Semestre 2'!$B$3:$B$29,"introuvable")</f>
        <v>SAÉ - Portfolio</v>
      </c>
      <c r="B96" s="4" t="s">
        <v>122</v>
      </c>
      <c r="C96" s="2" t="s">
        <v>11</v>
      </c>
      <c r="D96" s="4">
        <f>_xlfn.XLOOKUP(B96,'Semestre 2'!$D$3:$D$29,'Semestre 2'!$C$3:$C$29,"introuvable")</f>
        <v>5</v>
      </c>
      <c r="E96" s="4">
        <f>IFERROR(IFERROR(SUMIFS('Base de données'!$G:$G, 'Base de données'!A:A, BD_etu_notes_S2_C2!C96, 'Base de données'!$C:$C, BD_etu_notes_S2_C2!A96), 0) / IFERROR(SUMIFS('Base de données'!$E:$E, 'Base de données'!A:A, BD_etu_notes_S2_C2!C96, 'Base de données'!$C:$C, BD_etu_notes_S2_C2!A96), 0),0)</f>
        <v>12.5</v>
      </c>
    </row>
    <row r="97" spans="1:5" x14ac:dyDescent="0.2">
      <c r="A97" s="4" t="str">
        <f>_xlfn.XLOOKUP(B97,'Semestre 2'!$D$3:$D$29,'Semestre 2'!$B$3:$B$29,"introuvable")</f>
        <v>SAÉ - Portfolio</v>
      </c>
      <c r="B97" s="4" t="s">
        <v>122</v>
      </c>
      <c r="C97" s="2" t="s">
        <v>14</v>
      </c>
      <c r="D97" s="4">
        <f>_xlfn.XLOOKUP(B97,'Semestre 2'!$D$3:$D$29,'Semestre 2'!$C$3:$C$29,"introuvable")</f>
        <v>5</v>
      </c>
      <c r="E97" s="4">
        <f>IFERROR(IFERROR(SUMIFS('Base de données'!$G:$G, 'Base de données'!A:A, BD_etu_notes_S2_C2!C97, 'Base de données'!$C:$C, BD_etu_notes_S2_C2!A97), 0) / IFERROR(SUMIFS('Base de données'!$E:$E, 'Base de données'!A:A, BD_etu_notes_S2_C2!C97, 'Base de données'!$C:$C, BD_etu_notes_S2_C2!A97), 0),0)</f>
        <v>16</v>
      </c>
    </row>
    <row r="98" spans="1:5" x14ac:dyDescent="0.2">
      <c r="A98" s="4" t="str">
        <f>_xlfn.XLOOKUP(B98,'Semestre 2'!$D$3:$D$29,'Semestre 2'!$B$3:$B$29,"introuvable")</f>
        <v>SAÉ - Portfolio</v>
      </c>
      <c r="B98" s="4" t="s">
        <v>122</v>
      </c>
      <c r="C98" s="2" t="s">
        <v>16</v>
      </c>
      <c r="D98" s="4">
        <f>_xlfn.XLOOKUP(B98,'Semestre 2'!$D$3:$D$29,'Semestre 2'!$C$3:$C$29,"introuvable")</f>
        <v>5</v>
      </c>
      <c r="E98" s="4">
        <f>IFERROR(IFERROR(SUMIFS('Base de données'!$G:$G, 'Base de données'!A:A, BD_etu_notes_S2_C2!C98, 'Base de données'!$C:$C, BD_etu_notes_S2_C2!A98), 0) / IFERROR(SUMIFS('Base de données'!$E:$E, 'Base de données'!A:A, BD_etu_notes_S2_C2!C98, 'Base de données'!$C:$C, BD_etu_notes_S2_C2!A98), 0),0)</f>
        <v>13</v>
      </c>
    </row>
    <row r="99" spans="1:5" x14ac:dyDescent="0.2">
      <c r="A99" s="4" t="str">
        <f>_xlfn.XLOOKUP(B99,'Semestre 2'!$D$3:$D$29,'Semestre 2'!$B$3:$B$29,"introuvable")</f>
        <v>SAÉ - Portfolio</v>
      </c>
      <c r="B99" s="4" t="s">
        <v>122</v>
      </c>
      <c r="C99" s="2" t="s">
        <v>19</v>
      </c>
      <c r="D99" s="4">
        <f>_xlfn.XLOOKUP(B99,'Semestre 2'!$D$3:$D$29,'Semestre 2'!$C$3:$C$29,"introuvable")</f>
        <v>5</v>
      </c>
      <c r="E99" s="4">
        <f>IFERROR(IFERROR(SUMIFS('Base de données'!$G:$G, 'Base de données'!A:A, BD_etu_notes_S2_C2!C99, 'Base de données'!$C:$C, BD_etu_notes_S2_C2!A99), 0) / IFERROR(SUMIFS('Base de données'!$E:$E, 'Base de données'!A:A, BD_etu_notes_S2_C2!C99, 'Base de données'!$C:$C, BD_etu_notes_S2_C2!A99), 0),0)</f>
        <v>16.5</v>
      </c>
    </row>
    <row r="100" spans="1:5" x14ac:dyDescent="0.2">
      <c r="A100" s="4" t="str">
        <f>_xlfn.XLOOKUP(B100,'Semestre 2'!$D$3:$D$29,'Semestre 2'!$B$3:$B$29,"introuvable")</f>
        <v>SAÉ - Portfolio</v>
      </c>
      <c r="B100" s="4" t="s">
        <v>122</v>
      </c>
      <c r="C100" s="2" t="s">
        <v>21</v>
      </c>
      <c r="D100" s="4">
        <f>_xlfn.XLOOKUP(B100,'Semestre 2'!$D$3:$D$29,'Semestre 2'!$C$3:$C$29,"introuvable")</f>
        <v>5</v>
      </c>
      <c r="E100" s="4">
        <f>IFERROR(IFERROR(SUMIFS('Base de données'!$G:$G, 'Base de données'!A:A, BD_etu_notes_S2_C2!C100, 'Base de données'!$C:$C, BD_etu_notes_S2_C2!A100), 0) / IFERROR(SUMIFS('Base de données'!$E:$E, 'Base de données'!A:A, BD_etu_notes_S2_C2!C100, 'Base de données'!$C:$C, BD_etu_notes_S2_C2!A100), 0),0)</f>
        <v>13</v>
      </c>
    </row>
    <row r="101" spans="1:5" x14ac:dyDescent="0.2">
      <c r="A101" s="4" t="str">
        <f>_xlfn.XLOOKUP(B101,'Semestre 2'!$D$3:$D$29,'Semestre 2'!$B$3:$B$29,"introuvable")</f>
        <v>SAÉ - Portfolio</v>
      </c>
      <c r="B101" s="4" t="s">
        <v>122</v>
      </c>
      <c r="C101" s="2" t="s">
        <v>24</v>
      </c>
      <c r="D101" s="4">
        <f>_xlfn.XLOOKUP(B101,'Semestre 2'!$D$3:$D$29,'Semestre 2'!$C$3:$C$29,"introuvable")</f>
        <v>5</v>
      </c>
      <c r="E101" s="4">
        <f>IFERROR(IFERROR(SUMIFS('Base de données'!$G:$G, 'Base de données'!A:A, BD_etu_notes_S2_C2!C101, 'Base de données'!$C:$C, BD_etu_notes_S2_C2!A101), 0) / IFERROR(SUMIFS('Base de données'!$E:$E, 'Base de données'!A:A, BD_etu_notes_S2_C2!C101, 'Base de données'!$C:$C, BD_etu_notes_S2_C2!A101), 0),0)</f>
        <v>15.5</v>
      </c>
    </row>
    <row r="102" spans="1:5" x14ac:dyDescent="0.2">
      <c r="A102" s="4" t="str">
        <f>_xlfn.XLOOKUP(B102,'Semestre 2'!$D$3:$D$29,'Semestre 2'!$B$3:$B$29,"introuvable")</f>
        <v>SAÉ - Portfolio</v>
      </c>
      <c r="B102" s="4" t="s">
        <v>122</v>
      </c>
      <c r="C102" s="2" t="s">
        <v>26</v>
      </c>
      <c r="D102" s="4">
        <f>_xlfn.XLOOKUP(B102,'Semestre 2'!$D$3:$D$29,'Semestre 2'!$C$3:$C$29,"introuvable")</f>
        <v>5</v>
      </c>
      <c r="E102" s="4">
        <f>IFERROR(IFERROR(SUMIFS('Base de données'!$G:$G, 'Base de données'!A:A, BD_etu_notes_S2_C2!C102, 'Base de données'!$C:$C, BD_etu_notes_S2_C2!A102), 0) / IFERROR(SUMIFS('Base de données'!$E:$E, 'Base de données'!A:A, BD_etu_notes_S2_C2!C102, 'Base de données'!$C:$C, BD_etu_notes_S2_C2!A102), 0),0)</f>
        <v>12.5</v>
      </c>
    </row>
    <row r="103" spans="1:5" x14ac:dyDescent="0.2">
      <c r="A103" s="4" t="str">
        <f>_xlfn.XLOOKUP(B103,'Semestre 2'!$D$3:$D$29,'Semestre 2'!$B$3:$B$29,"introuvable")</f>
        <v>SAÉ - Portfolio</v>
      </c>
      <c r="B103" s="4" t="s">
        <v>122</v>
      </c>
      <c r="C103" s="2" t="s">
        <v>29</v>
      </c>
      <c r="D103" s="4">
        <f>_xlfn.XLOOKUP(B103,'Semestre 2'!$D$3:$D$29,'Semestre 2'!$C$3:$C$29,"introuvable")</f>
        <v>5</v>
      </c>
      <c r="E103" s="4">
        <f>IFERROR(IFERROR(SUMIFS('Base de données'!$G:$G, 'Base de données'!A:A, BD_etu_notes_S2_C2!C103, 'Base de données'!$C:$C, BD_etu_notes_S2_C2!A103), 0) / IFERROR(SUMIFS('Base de données'!$E:$E, 'Base de données'!A:A, BD_etu_notes_S2_C2!C103, 'Base de données'!$C:$C, BD_etu_notes_S2_C2!A103), 0),0)</f>
        <v>16</v>
      </c>
    </row>
    <row r="104" spans="1:5" x14ac:dyDescent="0.2">
      <c r="A104" s="4" t="s">
        <v>108</v>
      </c>
      <c r="B104" s="4" t="s">
        <v>109</v>
      </c>
      <c r="C104" s="4" t="s">
        <v>34</v>
      </c>
      <c r="D104" s="4">
        <v>10</v>
      </c>
      <c r="E104" s="4">
        <f>IFERROR(IFERROR(SUMIFS('Base de données'!$G:$G, 'Base de données'!A:A, BD_etu_notes_S2_C2!C104, 'Base de données'!$C:$C, BD_etu_notes_S2_C2!A104), 0) / IFERROR(SUMIFS('Base de données'!$E:$E, 'Base de données'!A:A, BD_etu_notes_S2_C2!C104, 'Base de données'!$C:$C, BD_etu_notes_S2_C2!A104), 0),0)</f>
        <v>0</v>
      </c>
    </row>
    <row r="105" spans="1:5" x14ac:dyDescent="0.2">
      <c r="A105" s="4" t="s">
        <v>61</v>
      </c>
      <c r="B105" s="4" t="s">
        <v>111</v>
      </c>
      <c r="C105" s="4" t="s">
        <v>34</v>
      </c>
      <c r="D105" s="4">
        <v>15</v>
      </c>
      <c r="E105" s="4">
        <f>IFERROR(IFERROR(SUMIFS('Base de données'!$G:$G, 'Base de données'!A:A, BD_etu_notes_S2_C2!C105, 'Base de données'!$C:$C, BD_etu_notes_S2_C2!A105), 0) / IFERROR(SUMIFS('Base de données'!$E:$E, 'Base de données'!A:A, BD_etu_notes_S2_C2!C105, 'Base de données'!$C:$C, BD_etu_notes_S2_C2!A105), 0),0)</f>
        <v>10</v>
      </c>
    </row>
    <row r="106" spans="1:5" x14ac:dyDescent="0.2">
      <c r="A106" s="4" t="s">
        <v>112</v>
      </c>
      <c r="B106" s="4" t="s">
        <v>113</v>
      </c>
      <c r="C106" s="4" t="s">
        <v>34</v>
      </c>
      <c r="D106" s="4">
        <v>15</v>
      </c>
      <c r="E106" s="4">
        <f>IFERROR(IFERROR(SUMIFS('Base de données'!$G:$G, 'Base de données'!A:A, BD_etu_notes_S2_C2!C106, 'Base de données'!$C:$C, BD_etu_notes_S2_C2!A106), 0) / IFERROR(SUMIFS('Base de données'!$E:$E, 'Base de données'!A:A, BD_etu_notes_S2_C2!C106, 'Base de données'!$C:$C, BD_etu_notes_S2_C2!A106), 0),0)</f>
        <v>0</v>
      </c>
    </row>
    <row r="107" spans="1:5" x14ac:dyDescent="0.2">
      <c r="A107" s="4" t="s">
        <v>114</v>
      </c>
      <c r="B107" s="4" t="s">
        <v>115</v>
      </c>
      <c r="C107" s="4" t="s">
        <v>34</v>
      </c>
      <c r="D107" s="4">
        <v>15</v>
      </c>
      <c r="E107" s="4">
        <f>IFERROR(IFERROR(SUMIFS('Base de données'!$G:$G, 'Base de données'!A:A, BD_etu_notes_S2_C2!C107, 'Base de données'!$C:$C, BD_etu_notes_S2_C2!A107), 0) / IFERROR(SUMIFS('Base de données'!$E:$E, 'Base de données'!A:A, BD_etu_notes_S2_C2!C107, 'Base de données'!$C:$C, BD_etu_notes_S2_C2!A107), 0),0)</f>
        <v>0</v>
      </c>
    </row>
    <row r="108" spans="1:5" x14ac:dyDescent="0.2">
      <c r="A108" s="4" t="s">
        <v>52</v>
      </c>
      <c r="B108" s="4" t="s">
        <v>71</v>
      </c>
      <c r="C108" s="4" t="s">
        <v>34</v>
      </c>
      <c r="D108" s="4">
        <v>5</v>
      </c>
      <c r="E108" s="4">
        <f>IFERROR(IFERROR(SUMIFS('Base de données'!$G:$G, 'Base de données'!A:A, BD_etu_notes_S2_C2!C108, 'Base de données'!$C:$C, BD_etu_notes_S2_C2!A108), 0) / IFERROR(SUMIFS('Base de données'!$E:$E, 'Base de données'!A:A, BD_etu_notes_S2_C2!C108, 'Base de données'!$C:$C, BD_etu_notes_S2_C2!A108), 0),0)</f>
        <v>0</v>
      </c>
    </row>
    <row r="109" spans="1:5" x14ac:dyDescent="0.2">
      <c r="A109" s="4" t="s">
        <v>116</v>
      </c>
      <c r="B109" s="4" t="s">
        <v>117</v>
      </c>
      <c r="C109" s="4" t="s">
        <v>34</v>
      </c>
      <c r="D109" s="4">
        <v>10</v>
      </c>
      <c r="E109" s="4">
        <f>IFERROR(IFERROR(SUMIFS('Base de données'!$G:$G, 'Base de données'!A:A, BD_etu_notes_S2_C2!C109, 'Base de données'!$C:$C, BD_etu_notes_S2_C2!A109), 0) / IFERROR(SUMIFS('Base de données'!$E:$E, 'Base de données'!A:A, BD_etu_notes_S2_C2!C109, 'Base de données'!$C:$C, BD_etu_notes_S2_C2!A109), 0),0)</f>
        <v>0</v>
      </c>
    </row>
    <row r="110" spans="1:5" x14ac:dyDescent="0.2">
      <c r="A110" s="4" t="s">
        <v>118</v>
      </c>
      <c r="B110" s="4" t="s">
        <v>119</v>
      </c>
      <c r="C110" s="4" t="s">
        <v>34</v>
      </c>
      <c r="D110" s="4">
        <v>10</v>
      </c>
      <c r="E110" s="4">
        <f>IFERROR(IFERROR(SUMIFS('Base de données'!$G:$G, 'Base de données'!A:A, BD_etu_notes_S2_C2!C110, 'Base de données'!$C:$C, BD_etu_notes_S2_C2!A110), 0) / IFERROR(SUMIFS('Base de données'!$E:$E, 'Base de données'!A:A, BD_etu_notes_S2_C2!C110, 'Base de données'!$C:$C, BD_etu_notes_S2_C2!A110), 0),0)</f>
        <v>0</v>
      </c>
    </row>
    <row r="111" spans="1:5" x14ac:dyDescent="0.2">
      <c r="A111" s="4" t="s">
        <v>57</v>
      </c>
      <c r="B111" s="4" t="s">
        <v>120</v>
      </c>
      <c r="C111" s="4" t="s">
        <v>34</v>
      </c>
      <c r="D111" s="4">
        <v>5</v>
      </c>
      <c r="E111" s="4">
        <f>IFERROR(IFERROR(SUMIFS('Base de données'!$G:$G, 'Base de données'!A:A, BD_etu_notes_S2_C2!C111, 'Base de données'!$C:$C, BD_etu_notes_S2_C2!A111), 0) / IFERROR(SUMIFS('Base de données'!$E:$E, 'Base de données'!A:A, BD_etu_notes_S2_C2!C111, 'Base de données'!$C:$C, BD_etu_notes_S2_C2!A111), 0),0)</f>
        <v>0</v>
      </c>
    </row>
    <row r="112" spans="1:5" x14ac:dyDescent="0.2">
      <c r="A112" s="4" t="s">
        <v>55</v>
      </c>
      <c r="B112" s="4" t="s">
        <v>121</v>
      </c>
      <c r="C112" s="4" t="s">
        <v>34</v>
      </c>
      <c r="D112" s="4">
        <v>10</v>
      </c>
      <c r="E112" s="4">
        <f>IFERROR(IFERROR(SUMIFS('Base de données'!$G:$G, 'Base de données'!A:A, BD_etu_notes_S2_C2!C112, 'Base de données'!$C:$C, BD_etu_notes_S2_C2!A112), 0) / IFERROR(SUMIFS('Base de données'!$E:$E, 'Base de données'!A:A, BD_etu_notes_S2_C2!C112, 'Base de données'!$C:$C, BD_etu_notes_S2_C2!A112), 0),0)</f>
        <v>0</v>
      </c>
    </row>
    <row r="113" spans="1:5" x14ac:dyDescent="0.2">
      <c r="A113" s="4" t="s">
        <v>58</v>
      </c>
      <c r="B113" s="4" t="s">
        <v>122</v>
      </c>
      <c r="C113" s="4" t="s">
        <v>34</v>
      </c>
      <c r="D113" s="4">
        <v>5</v>
      </c>
      <c r="E113" s="4">
        <f>IFERROR(IFERROR(SUMIFS('Base de données'!$G:$G, 'Base de données'!A:A, BD_etu_notes_S2_C2!C113, 'Base de données'!$C:$C, BD_etu_notes_S2_C2!A113), 0) / IFERROR(SUMIFS('Base de données'!$E:$E, 'Base de données'!A:A, BD_etu_notes_S2_C2!C113, 'Base de données'!$C:$C, BD_etu_notes_S2_C2!A113), 0),0)</f>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EB063-6F10-4E02-9734-4D5711B8E4D3}">
  <sheetPr codeName="Feuil12"/>
  <dimension ref="A1:K97"/>
  <sheetViews>
    <sheetView workbookViewId="0">
      <selection activeCell="I15" sqref="I15"/>
    </sheetView>
  </sheetViews>
  <sheetFormatPr baseColWidth="10" defaultColWidth="11.5" defaultRowHeight="15" x14ac:dyDescent="0.2"/>
  <cols>
    <col min="1" max="1" width="66.5" style="4" bestFit="1" customWidth="1"/>
    <col min="2" max="2" width="11.1640625" style="4" bestFit="1" customWidth="1"/>
    <col min="3" max="3" width="10.6640625" style="4" bestFit="1" customWidth="1"/>
    <col min="4" max="4" width="5.5" style="4" bestFit="1" customWidth="1"/>
    <col min="5" max="5" width="7.6640625" style="4" bestFit="1" customWidth="1"/>
  </cols>
  <sheetData>
    <row r="1" spans="1:5" x14ac:dyDescent="0.2">
      <c r="A1" s="5" t="s">
        <v>161</v>
      </c>
      <c r="B1"/>
      <c r="C1"/>
      <c r="D1"/>
      <c r="E1"/>
    </row>
    <row r="2" spans="1:5" x14ac:dyDescent="0.2">
      <c r="A2"/>
      <c r="B2"/>
      <c r="C2"/>
      <c r="D2"/>
      <c r="E2"/>
    </row>
    <row r="3" spans="1:5" x14ac:dyDescent="0.2">
      <c r="A3" s="8" t="s">
        <v>155</v>
      </c>
      <c r="B3" s="8" t="s">
        <v>156</v>
      </c>
      <c r="C3" s="8" t="s">
        <v>157</v>
      </c>
      <c r="D3" s="8" t="s">
        <v>97</v>
      </c>
      <c r="E3" s="8" t="s">
        <v>142</v>
      </c>
    </row>
    <row r="4" spans="1:5" x14ac:dyDescent="0.2">
      <c r="A4" s="4" t="s">
        <v>51</v>
      </c>
      <c r="B4" s="4" t="s">
        <v>71</v>
      </c>
      <c r="C4" s="2" t="s">
        <v>5</v>
      </c>
      <c r="D4" s="4">
        <v>5</v>
      </c>
      <c r="E4" s="4">
        <f>IFERROR(IFERROR(SUMIFS('Base de données'!$G:$G, 'Base de données'!A:A, BD_etu_notes_S2_C3!C4, 'Base de données'!$C:$C, BD_etu_notes_S2_C3!A4), 0) / IFERROR(SUMIFS('Base de données'!$E:$E, 'Base de données'!A:A, BD_etu_notes_S2_C3!C4, 'Base de données'!$C:$C, BD_etu_notes_S2_C3!A4), 0),0)</f>
        <v>13.5</v>
      </c>
    </row>
    <row r="5" spans="1:5" x14ac:dyDescent="0.2">
      <c r="A5" s="4" t="s">
        <v>51</v>
      </c>
      <c r="B5" s="4" t="s">
        <v>71</v>
      </c>
      <c r="C5" s="2" t="s">
        <v>9</v>
      </c>
      <c r="D5" s="4">
        <v>5</v>
      </c>
      <c r="E5" s="4">
        <f>IFERROR(IFERROR(SUMIFS('Base de données'!$G:$G, 'Base de données'!A:A, BD_etu_notes_S2_C3!C5, 'Base de données'!$C:$C, BD_etu_notes_S2_C3!A5), 0) / IFERROR(SUMIFS('Base de données'!$E:$E, 'Base de données'!A:A, BD_etu_notes_S2_C3!C5, 'Base de données'!$C:$C, BD_etu_notes_S2_C3!A5), 0),0)</f>
        <v>15</v>
      </c>
    </row>
    <row r="6" spans="1:5" x14ac:dyDescent="0.2">
      <c r="A6" s="4" t="s">
        <v>51</v>
      </c>
      <c r="B6" s="4" t="s">
        <v>71</v>
      </c>
      <c r="C6" s="2" t="s">
        <v>11</v>
      </c>
      <c r="D6" s="4">
        <v>5</v>
      </c>
      <c r="E6" s="4">
        <f>IFERROR(IFERROR(SUMIFS('Base de données'!$G:$G, 'Base de données'!A:A, BD_etu_notes_S2_C3!C6, 'Base de données'!$C:$C, BD_etu_notes_S2_C3!A6), 0) / IFERROR(SUMIFS('Base de données'!$E:$E, 'Base de données'!A:A, BD_etu_notes_S2_C3!C6, 'Base de données'!$C:$C, BD_etu_notes_S2_C3!A6), 0),0)</f>
        <v>12</v>
      </c>
    </row>
    <row r="7" spans="1:5" x14ac:dyDescent="0.2">
      <c r="A7" s="4" t="s">
        <v>51</v>
      </c>
      <c r="B7" s="4" t="s">
        <v>71</v>
      </c>
      <c r="C7" s="2" t="s">
        <v>14</v>
      </c>
      <c r="D7" s="4">
        <v>5</v>
      </c>
      <c r="E7" s="4">
        <f>IFERROR(IFERROR(SUMIFS('Base de données'!$G:$G, 'Base de données'!A:A, BD_etu_notes_S2_C3!C7, 'Base de données'!$C:$C, BD_etu_notes_S2_C3!A7), 0) / IFERROR(SUMIFS('Base de données'!$E:$E, 'Base de données'!A:A, BD_etu_notes_S2_C3!C7, 'Base de données'!$C:$C, BD_etu_notes_S2_C3!A7), 0),0)</f>
        <v>14.5</v>
      </c>
    </row>
    <row r="8" spans="1:5" x14ac:dyDescent="0.2">
      <c r="A8" s="4" t="s">
        <v>51</v>
      </c>
      <c r="B8" s="4" t="s">
        <v>71</v>
      </c>
      <c r="C8" s="2" t="s">
        <v>16</v>
      </c>
      <c r="D8" s="4">
        <v>5</v>
      </c>
      <c r="E8" s="4">
        <f>IFERROR(IFERROR(SUMIFS('Base de données'!$G:$G, 'Base de données'!A:A, BD_etu_notes_S2_C3!C8, 'Base de données'!$C:$C, BD_etu_notes_S2_C3!A8), 0) / IFERROR(SUMIFS('Base de données'!$E:$E, 'Base de données'!A:A, BD_etu_notes_S2_C3!C8, 'Base de données'!$C:$C, BD_etu_notes_S2_C3!A8), 0),0)</f>
        <v>12.5</v>
      </c>
    </row>
    <row r="9" spans="1:5" x14ac:dyDescent="0.2">
      <c r="A9" s="4" t="s">
        <v>51</v>
      </c>
      <c r="B9" s="4" t="s">
        <v>71</v>
      </c>
      <c r="C9" s="2" t="s">
        <v>19</v>
      </c>
      <c r="D9" s="4">
        <v>5</v>
      </c>
      <c r="E9" s="4">
        <f>IFERROR(IFERROR(SUMIFS('Base de données'!$G:$G, 'Base de données'!A:A, BD_etu_notes_S2_C3!C9, 'Base de données'!$C:$C, BD_etu_notes_S2_C3!A9), 0) / IFERROR(SUMIFS('Base de données'!$E:$E, 'Base de données'!A:A, BD_etu_notes_S2_C3!C9, 'Base de données'!$C:$C, BD_etu_notes_S2_C3!A9), 0),0)</f>
        <v>11.5</v>
      </c>
    </row>
    <row r="10" spans="1:5" x14ac:dyDescent="0.2">
      <c r="A10" s="4" t="s">
        <v>51</v>
      </c>
      <c r="B10" s="4" t="s">
        <v>71</v>
      </c>
      <c r="C10" s="2" t="s">
        <v>21</v>
      </c>
      <c r="D10" s="4">
        <v>5</v>
      </c>
      <c r="E10" s="4">
        <f>IFERROR(IFERROR(SUMIFS('Base de données'!$G:$G, 'Base de données'!A:A, BD_etu_notes_S2_C3!C10, 'Base de données'!$C:$C, BD_etu_notes_S2_C3!A10), 0) / IFERROR(SUMIFS('Base de données'!$E:$E, 'Base de données'!A:A, BD_etu_notes_S2_C3!C10, 'Base de données'!$C:$C, BD_etu_notes_S2_C3!A10), 0),0)</f>
        <v>16</v>
      </c>
    </row>
    <row r="11" spans="1:5" x14ac:dyDescent="0.2">
      <c r="A11" s="4" t="s">
        <v>51</v>
      </c>
      <c r="B11" s="4" t="s">
        <v>71</v>
      </c>
      <c r="C11" s="2" t="s">
        <v>24</v>
      </c>
      <c r="D11" s="4">
        <v>5</v>
      </c>
      <c r="E11" s="4">
        <f>IFERROR(IFERROR(SUMIFS('Base de données'!$G:$G, 'Base de données'!A:A, BD_etu_notes_S2_C3!C11, 'Base de données'!$C:$C, BD_etu_notes_S2_C3!A11), 0) / IFERROR(SUMIFS('Base de données'!$E:$E, 'Base de données'!A:A, BD_etu_notes_S2_C3!C11, 'Base de données'!$C:$C, BD_etu_notes_S2_C3!A11), 0),0)</f>
        <v>14</v>
      </c>
    </row>
    <row r="12" spans="1:5" x14ac:dyDescent="0.2">
      <c r="A12" s="4" t="s">
        <v>51</v>
      </c>
      <c r="B12" s="4" t="s">
        <v>71</v>
      </c>
      <c r="C12" s="2" t="s">
        <v>26</v>
      </c>
      <c r="D12" s="4">
        <v>5</v>
      </c>
      <c r="E12" s="4">
        <f>IFERROR(IFERROR(SUMIFS('Base de données'!$G:$G, 'Base de données'!A:A, BD_etu_notes_S2_C3!C12, 'Base de données'!$C:$C, BD_etu_notes_S2_C3!A12), 0) / IFERROR(SUMIFS('Base de données'!$E:$E, 'Base de données'!A:A, BD_etu_notes_S2_C3!C12, 'Base de données'!$C:$C, BD_etu_notes_S2_C3!A12), 0),0)</f>
        <v>10.5</v>
      </c>
    </row>
    <row r="13" spans="1:5" x14ac:dyDescent="0.2">
      <c r="A13" s="4" t="s">
        <v>51</v>
      </c>
      <c r="B13" s="4" t="s">
        <v>71</v>
      </c>
      <c r="C13" s="2" t="s">
        <v>29</v>
      </c>
      <c r="D13" s="4">
        <v>5</v>
      </c>
      <c r="E13" s="4">
        <f>IFERROR(IFERROR(SUMIFS('Base de données'!$G:$G, 'Base de données'!A:A, BD_etu_notes_S2_C3!C13, 'Base de données'!$C:$C, BD_etu_notes_S2_C3!A13), 0) / IFERROR(SUMIFS('Base de données'!$E:$E, 'Base de données'!A:A, BD_etu_notes_S2_C3!C13, 'Base de données'!$C:$C, BD_etu_notes_S2_C3!A13), 0),0)</f>
        <v>14</v>
      </c>
    </row>
    <row r="14" spans="1:5" x14ac:dyDescent="0.2">
      <c r="A14" s="4" t="str">
        <f>_xlfn.XLOOKUP(B14,'Semestre 2'!$D$3:$D$29,'Semestre 2'!$B$3:$B$29,"introuvable")</f>
        <v>Approfondissement de l'anglais de spécialité</v>
      </c>
      <c r="B14" s="4" t="s">
        <v>125</v>
      </c>
      <c r="C14" s="2" t="s">
        <v>5</v>
      </c>
      <c r="D14" s="4">
        <f>_xlfn.XLOOKUP(B14,'Semestre 2'!$D$3:$D$29,'Semestre 2'!$C$3:$C$29,"introuvable")</f>
        <v>15</v>
      </c>
      <c r="E14" s="4">
        <f>IFERROR(IFERROR(SUMIFS('Base de données'!$G:$G, 'Base de données'!A:A, BD_etu_notes_S2_C3!C14, 'Base de données'!$C:$C, BD_etu_notes_S2_C3!A14), 0) / IFERROR(SUMIFS('Base de données'!$E:$E, 'Base de données'!A:A, BD_etu_notes_S2_C3!C14, 'Base de données'!$C:$C, BD_etu_notes_S2_C3!A14), 0),0)</f>
        <v>0</v>
      </c>
    </row>
    <row r="15" spans="1:5" x14ac:dyDescent="0.2">
      <c r="A15" s="4" t="str">
        <f>_xlfn.XLOOKUP(B15,'Semestre 2'!$D$3:$D$29,'Semestre 2'!$B$3:$B$29,"introuvable")</f>
        <v>Approfondissement de l'anglais de spécialité</v>
      </c>
      <c r="B15" s="4" t="s">
        <v>125</v>
      </c>
      <c r="C15" s="2" t="s">
        <v>9</v>
      </c>
      <c r="D15" s="4">
        <f>_xlfn.XLOOKUP(B15,'Semestre 2'!$D$3:$D$29,'Semestre 2'!$C$3:$C$29,"introuvable")</f>
        <v>15</v>
      </c>
      <c r="E15" s="4">
        <f>IFERROR(IFERROR(SUMIFS('Base de données'!$G:$G, 'Base de données'!A:A, BD_etu_notes_S2_C3!C15, 'Base de données'!$C:$C, BD_etu_notes_S2_C3!A15), 0) / IFERROR(SUMIFS('Base de données'!$E:$E, 'Base de données'!A:A, BD_etu_notes_S2_C3!C15, 'Base de données'!$C:$C, BD_etu_notes_S2_C3!A15), 0),0)</f>
        <v>0</v>
      </c>
    </row>
    <row r="16" spans="1:5" x14ac:dyDescent="0.2">
      <c r="A16" s="4" t="str">
        <f>_xlfn.XLOOKUP(B16,'Semestre 2'!$D$3:$D$29,'Semestre 2'!$B$3:$B$29,"introuvable")</f>
        <v>Approfondissement de l'anglais de spécialité</v>
      </c>
      <c r="B16" s="4" t="s">
        <v>125</v>
      </c>
      <c r="C16" s="2" t="s">
        <v>11</v>
      </c>
      <c r="D16" s="4">
        <f>_xlfn.XLOOKUP(B16,'Semestre 2'!$D$3:$D$29,'Semestre 2'!$C$3:$C$29,"introuvable")</f>
        <v>15</v>
      </c>
      <c r="E16" s="4">
        <f>IFERROR(IFERROR(SUMIFS('Base de données'!$G:$G, 'Base de données'!A:A, BD_etu_notes_S2_C3!C16, 'Base de données'!$C:$C, BD_etu_notes_S2_C3!A16), 0) / IFERROR(SUMIFS('Base de données'!$E:$E, 'Base de données'!A:A, BD_etu_notes_S2_C3!C16, 'Base de données'!$C:$C, BD_etu_notes_S2_C3!A16), 0),0)</f>
        <v>0</v>
      </c>
    </row>
    <row r="17" spans="1:5" x14ac:dyDescent="0.2">
      <c r="A17" s="4" t="str">
        <f>_xlfn.XLOOKUP(B17,'Semestre 2'!$D$3:$D$29,'Semestre 2'!$B$3:$B$29,"introuvable")</f>
        <v>Approfondissement de l'anglais de spécialité</v>
      </c>
      <c r="B17" s="4" t="s">
        <v>125</v>
      </c>
      <c r="C17" s="2" t="s">
        <v>14</v>
      </c>
      <c r="D17" s="4">
        <f>_xlfn.XLOOKUP(B17,'Semestre 2'!$D$3:$D$29,'Semestre 2'!$C$3:$C$29,"introuvable")</f>
        <v>15</v>
      </c>
      <c r="E17" s="4">
        <f>IFERROR(IFERROR(SUMIFS('Base de données'!$G:$G, 'Base de données'!A:A, BD_etu_notes_S2_C3!C17, 'Base de données'!$C:$C, BD_etu_notes_S2_C3!A17), 0) / IFERROR(SUMIFS('Base de données'!$E:$E, 'Base de données'!A:A, BD_etu_notes_S2_C3!C17, 'Base de données'!$C:$C, BD_etu_notes_S2_C3!A17), 0),0)</f>
        <v>0</v>
      </c>
    </row>
    <row r="18" spans="1:5" x14ac:dyDescent="0.2">
      <c r="A18" s="4" t="str">
        <f>_xlfn.XLOOKUP(B18,'Semestre 2'!$D$3:$D$29,'Semestre 2'!$B$3:$B$29,"introuvable")</f>
        <v>Approfondissement de l'anglais de spécialité</v>
      </c>
      <c r="B18" s="4" t="s">
        <v>125</v>
      </c>
      <c r="C18" s="2" t="s">
        <v>16</v>
      </c>
      <c r="D18" s="4">
        <f>_xlfn.XLOOKUP(B18,'Semestre 2'!$D$3:$D$29,'Semestre 2'!$C$3:$C$29,"introuvable")</f>
        <v>15</v>
      </c>
      <c r="E18" s="4">
        <f>IFERROR(IFERROR(SUMIFS('Base de données'!$G:$G, 'Base de données'!A:A, BD_etu_notes_S2_C3!C18, 'Base de données'!$C:$C, BD_etu_notes_S2_C3!A18), 0) / IFERROR(SUMIFS('Base de données'!$E:$E, 'Base de données'!A:A, BD_etu_notes_S2_C3!C18, 'Base de données'!$C:$C, BD_etu_notes_S2_C3!A18), 0),0)</f>
        <v>0</v>
      </c>
    </row>
    <row r="19" spans="1:5" x14ac:dyDescent="0.2">
      <c r="A19" s="4" t="str">
        <f>_xlfn.XLOOKUP(B19,'Semestre 2'!$D$3:$D$29,'Semestre 2'!$B$3:$B$29,"introuvable")</f>
        <v>Approfondissement de l'anglais de spécialité</v>
      </c>
      <c r="B19" s="4" t="s">
        <v>125</v>
      </c>
      <c r="C19" s="2" t="s">
        <v>19</v>
      </c>
      <c r="D19" s="4">
        <f>_xlfn.XLOOKUP(B19,'Semestre 2'!$D$3:$D$29,'Semestre 2'!$C$3:$C$29,"introuvable")</f>
        <v>15</v>
      </c>
      <c r="E19" s="4">
        <f>IFERROR(IFERROR(SUMIFS('Base de données'!$G:$G, 'Base de données'!A:A, BD_etu_notes_S2_C3!C19, 'Base de données'!$C:$C, BD_etu_notes_S2_C3!A19), 0) / IFERROR(SUMIFS('Base de données'!$E:$E, 'Base de données'!A:A, BD_etu_notes_S2_C3!C19, 'Base de données'!$C:$C, BD_etu_notes_S2_C3!A19), 0),0)</f>
        <v>0</v>
      </c>
    </row>
    <row r="20" spans="1:5" x14ac:dyDescent="0.2">
      <c r="A20" s="4" t="str">
        <f>_xlfn.XLOOKUP(B20,'Semestre 2'!$D$3:$D$29,'Semestre 2'!$B$3:$B$29,"introuvable")</f>
        <v>Approfondissement de l'anglais de spécialité</v>
      </c>
      <c r="B20" s="4" t="s">
        <v>125</v>
      </c>
      <c r="C20" s="2" t="s">
        <v>21</v>
      </c>
      <c r="D20" s="4">
        <f>_xlfn.XLOOKUP(B20,'Semestre 2'!$D$3:$D$29,'Semestre 2'!$C$3:$C$29,"introuvable")</f>
        <v>15</v>
      </c>
      <c r="E20" s="4">
        <f>IFERROR(IFERROR(SUMIFS('Base de données'!$G:$G, 'Base de données'!A:A, BD_etu_notes_S2_C3!C20, 'Base de données'!$C:$C, BD_etu_notes_S2_C3!A20), 0) / IFERROR(SUMIFS('Base de données'!$E:$E, 'Base de données'!A:A, BD_etu_notes_S2_C3!C20, 'Base de données'!$C:$C, BD_etu_notes_S2_C3!A20), 0),0)</f>
        <v>0</v>
      </c>
    </row>
    <row r="21" spans="1:5" x14ac:dyDescent="0.2">
      <c r="A21" s="4" t="str">
        <f>_xlfn.XLOOKUP(B21,'Semestre 2'!$D$3:$D$29,'Semestre 2'!$B$3:$B$29,"introuvable")</f>
        <v>Approfondissement de l'anglais de spécialité</v>
      </c>
      <c r="B21" s="4" t="s">
        <v>125</v>
      </c>
      <c r="C21" s="2" t="s">
        <v>24</v>
      </c>
      <c r="D21" s="4">
        <f>_xlfn.XLOOKUP(B21,'Semestre 2'!$D$3:$D$29,'Semestre 2'!$C$3:$C$29,"introuvable")</f>
        <v>15</v>
      </c>
      <c r="E21" s="4">
        <f>IFERROR(IFERROR(SUMIFS('Base de données'!$G:$G, 'Base de données'!A:A, BD_etu_notes_S2_C3!C21, 'Base de données'!$C:$C, BD_etu_notes_S2_C3!A21), 0) / IFERROR(SUMIFS('Base de données'!$E:$E, 'Base de données'!A:A, BD_etu_notes_S2_C3!C21, 'Base de données'!$C:$C, BD_etu_notes_S2_C3!A21), 0),0)</f>
        <v>0</v>
      </c>
    </row>
    <row r="22" spans="1:5" x14ac:dyDescent="0.2">
      <c r="A22" s="4" t="str">
        <f>_xlfn.XLOOKUP(B22,'Semestre 2'!$D$3:$D$29,'Semestre 2'!$B$3:$B$29,"introuvable")</f>
        <v>Approfondissement de l'anglais de spécialité</v>
      </c>
      <c r="B22" s="4" t="s">
        <v>125</v>
      </c>
      <c r="C22" s="2" t="s">
        <v>26</v>
      </c>
      <c r="D22" s="4">
        <f>_xlfn.XLOOKUP(B22,'Semestre 2'!$D$3:$D$29,'Semestre 2'!$C$3:$C$29,"introuvable")</f>
        <v>15</v>
      </c>
      <c r="E22" s="4">
        <f>IFERROR(IFERROR(SUMIFS('Base de données'!$G:$G, 'Base de données'!A:A, BD_etu_notes_S2_C3!C22, 'Base de données'!$C:$C, BD_etu_notes_S2_C3!A22), 0) / IFERROR(SUMIFS('Base de données'!$E:$E, 'Base de données'!A:A, BD_etu_notes_S2_C3!C22, 'Base de données'!$C:$C, BD_etu_notes_S2_C3!A22), 0),0)</f>
        <v>0</v>
      </c>
    </row>
    <row r="23" spans="1:5" x14ac:dyDescent="0.2">
      <c r="A23" s="4" t="str">
        <f>_xlfn.XLOOKUP(B23,'Semestre 2'!$D$3:$D$29,'Semestre 2'!$B$3:$B$29,"introuvable")</f>
        <v>Approfondissement de l'anglais de spécialité</v>
      </c>
      <c r="B23" s="4" t="s">
        <v>125</v>
      </c>
      <c r="C23" s="2" t="s">
        <v>29</v>
      </c>
      <c r="D23" s="4">
        <f>_xlfn.XLOOKUP(B23,'Semestre 2'!$D$3:$D$29,'Semestre 2'!$C$3:$C$29,"introuvable")</f>
        <v>15</v>
      </c>
      <c r="E23" s="4">
        <f>IFERROR(IFERROR(SUMIFS('Base de données'!$G:$G, 'Base de données'!A:A, BD_etu_notes_S2_C3!C23, 'Base de données'!$C:$C, BD_etu_notes_S2_C3!A23), 0) / IFERROR(SUMIFS('Base de données'!$E:$E, 'Base de données'!A:A, BD_etu_notes_S2_C3!C23, 'Base de données'!$C:$C, BD_etu_notes_S2_C3!A23), 0),0)</f>
        <v>0</v>
      </c>
    </row>
    <row r="24" spans="1:5" x14ac:dyDescent="0.2">
      <c r="A24" s="4" t="str">
        <f>_xlfn.XLOOKUP(B24,'Semestre 2'!$D$3:$D$29,'Semestre 2'!$B$3:$B$29,"introuvable")</f>
        <v>Communication et sémiologie</v>
      </c>
      <c r="B24" s="4" t="s">
        <v>128</v>
      </c>
      <c r="C24" s="2" t="s">
        <v>5</v>
      </c>
      <c r="D24" s="4">
        <f>_xlfn.XLOOKUP(B24,'Semestre 2'!$D$3:$D$29,'Semestre 2'!$C$3:$C$29,"introuvable")</f>
        <v>15</v>
      </c>
      <c r="E24" s="4">
        <f>IFERROR(IFERROR(SUMIFS('Base de données'!$G:$G, 'Base de données'!A:A, BD_etu_notes_S2_C3!C24, 'Base de données'!$C:$C, BD_etu_notes_S2_C3!A24), 0) / IFERROR(SUMIFS('Base de données'!$E:$E, 'Base de données'!A:A, BD_etu_notes_S2_C3!C24, 'Base de données'!$C:$C, BD_etu_notes_S2_C3!A24), 0),0)</f>
        <v>0</v>
      </c>
    </row>
    <row r="25" spans="1:5" x14ac:dyDescent="0.2">
      <c r="A25" s="4" t="str">
        <f>_xlfn.XLOOKUP(B25,'Semestre 2'!$D$3:$D$29,'Semestre 2'!$B$3:$B$29,"introuvable")</f>
        <v>Communication et sémiologie</v>
      </c>
      <c r="B25" s="4" t="s">
        <v>128</v>
      </c>
      <c r="C25" s="2" t="s">
        <v>9</v>
      </c>
      <c r="D25" s="4">
        <f>_xlfn.XLOOKUP(B25,'Semestre 2'!$D$3:$D$29,'Semestre 2'!$C$3:$C$29,"introuvable")</f>
        <v>15</v>
      </c>
      <c r="E25" s="4">
        <f>IFERROR(IFERROR(SUMIFS('Base de données'!$G:$G, 'Base de données'!A:A, BD_etu_notes_S2_C3!C25, 'Base de données'!$C:$C, BD_etu_notes_S2_C3!A25), 0) / IFERROR(SUMIFS('Base de données'!$E:$E, 'Base de données'!A:A, BD_etu_notes_S2_C3!C25, 'Base de données'!$C:$C, BD_etu_notes_S2_C3!A25), 0),0)</f>
        <v>0</v>
      </c>
    </row>
    <row r="26" spans="1:5" x14ac:dyDescent="0.2">
      <c r="A26" s="4" t="str">
        <f>_xlfn.XLOOKUP(B26,'Semestre 2'!$D$3:$D$29,'Semestre 2'!$B$3:$B$29,"introuvable")</f>
        <v>Communication et sémiologie</v>
      </c>
      <c r="B26" s="4" t="s">
        <v>128</v>
      </c>
      <c r="C26" s="2" t="s">
        <v>11</v>
      </c>
      <c r="D26" s="4">
        <f>_xlfn.XLOOKUP(B26,'Semestre 2'!$D$3:$D$29,'Semestre 2'!$C$3:$C$29,"introuvable")</f>
        <v>15</v>
      </c>
      <c r="E26" s="4">
        <f>IFERROR(IFERROR(SUMIFS('Base de données'!$G:$G, 'Base de données'!A:A, BD_etu_notes_S2_C3!C26, 'Base de données'!$C:$C, BD_etu_notes_S2_C3!A26), 0) / IFERROR(SUMIFS('Base de données'!$E:$E, 'Base de données'!A:A, BD_etu_notes_S2_C3!C26, 'Base de données'!$C:$C, BD_etu_notes_S2_C3!A26), 0),0)</f>
        <v>0</v>
      </c>
    </row>
    <row r="27" spans="1:5" x14ac:dyDescent="0.2">
      <c r="A27" s="4" t="str">
        <f>_xlfn.XLOOKUP(B27,'Semestre 2'!$D$3:$D$29,'Semestre 2'!$B$3:$B$29,"introuvable")</f>
        <v>Communication et sémiologie</v>
      </c>
      <c r="B27" s="4" t="s">
        <v>128</v>
      </c>
      <c r="C27" s="2" t="s">
        <v>14</v>
      </c>
      <c r="D27" s="4">
        <f>_xlfn.XLOOKUP(B27,'Semestre 2'!$D$3:$D$29,'Semestre 2'!$C$3:$C$29,"introuvable")</f>
        <v>15</v>
      </c>
      <c r="E27" s="4">
        <f>IFERROR(IFERROR(SUMIFS('Base de données'!$G:$G, 'Base de données'!A:A, BD_etu_notes_S2_C3!C27, 'Base de données'!$C:$C, BD_etu_notes_S2_C3!A27), 0) / IFERROR(SUMIFS('Base de données'!$E:$E, 'Base de données'!A:A, BD_etu_notes_S2_C3!C27, 'Base de données'!$C:$C, BD_etu_notes_S2_C3!A27), 0),0)</f>
        <v>0</v>
      </c>
    </row>
    <row r="28" spans="1:5" x14ac:dyDescent="0.2">
      <c r="A28" s="4" t="str">
        <f>_xlfn.XLOOKUP(B28,'Semestre 2'!$D$3:$D$29,'Semestre 2'!$B$3:$B$29,"introuvable")</f>
        <v>Communication et sémiologie</v>
      </c>
      <c r="B28" s="4" t="s">
        <v>128</v>
      </c>
      <c r="C28" s="2" t="s">
        <v>16</v>
      </c>
      <c r="D28" s="4">
        <f>_xlfn.XLOOKUP(B28,'Semestre 2'!$D$3:$D$29,'Semestre 2'!$C$3:$C$29,"introuvable")</f>
        <v>15</v>
      </c>
      <c r="E28" s="4">
        <f>IFERROR(IFERROR(SUMIFS('Base de données'!$G:$G, 'Base de données'!A:A, BD_etu_notes_S2_C3!C28, 'Base de données'!$C:$C, BD_etu_notes_S2_C3!A28), 0) / IFERROR(SUMIFS('Base de données'!$E:$E, 'Base de données'!A:A, BD_etu_notes_S2_C3!C28, 'Base de données'!$C:$C, BD_etu_notes_S2_C3!A28), 0),0)</f>
        <v>0</v>
      </c>
    </row>
    <row r="29" spans="1:5" x14ac:dyDescent="0.2">
      <c r="A29" s="4" t="str">
        <f>_xlfn.XLOOKUP(B29,'Semestre 2'!$D$3:$D$29,'Semestre 2'!$B$3:$B$29,"introuvable")</f>
        <v>Communication et sémiologie</v>
      </c>
      <c r="B29" s="4" t="s">
        <v>128</v>
      </c>
      <c r="C29" s="2" t="s">
        <v>19</v>
      </c>
      <c r="D29" s="4">
        <f>_xlfn.XLOOKUP(B29,'Semestre 2'!$D$3:$D$29,'Semestre 2'!$C$3:$C$29,"introuvable")</f>
        <v>15</v>
      </c>
      <c r="E29" s="4">
        <f>IFERROR(IFERROR(SUMIFS('Base de données'!$G:$G, 'Base de données'!A:A, BD_etu_notes_S2_C3!C29, 'Base de données'!$C:$C, BD_etu_notes_S2_C3!A29), 0) / IFERROR(SUMIFS('Base de données'!$E:$E, 'Base de données'!A:A, BD_etu_notes_S2_C3!C29, 'Base de données'!$C:$C, BD_etu_notes_S2_C3!A29), 0),0)</f>
        <v>0</v>
      </c>
    </row>
    <row r="30" spans="1:5" x14ac:dyDescent="0.2">
      <c r="A30" s="4" t="str">
        <f>_xlfn.XLOOKUP(B30,'Semestre 2'!$D$3:$D$29,'Semestre 2'!$B$3:$B$29,"introuvable")</f>
        <v>Communication et sémiologie</v>
      </c>
      <c r="B30" s="4" t="s">
        <v>128</v>
      </c>
      <c r="C30" s="2" t="s">
        <v>21</v>
      </c>
      <c r="D30" s="4">
        <f>_xlfn.XLOOKUP(B30,'Semestre 2'!$D$3:$D$29,'Semestre 2'!$C$3:$C$29,"introuvable")</f>
        <v>15</v>
      </c>
      <c r="E30" s="4">
        <f>IFERROR(IFERROR(SUMIFS('Base de données'!$G:$G, 'Base de données'!A:A, BD_etu_notes_S2_C3!C30, 'Base de données'!$C:$C, BD_etu_notes_S2_C3!A30), 0) / IFERROR(SUMIFS('Base de données'!$E:$E, 'Base de données'!A:A, BD_etu_notes_S2_C3!C30, 'Base de données'!$C:$C, BD_etu_notes_S2_C3!A30), 0),0)</f>
        <v>0</v>
      </c>
    </row>
    <row r="31" spans="1:5" x14ac:dyDescent="0.2">
      <c r="A31" s="4" t="str">
        <f>_xlfn.XLOOKUP(B31,'Semestre 2'!$D$3:$D$29,'Semestre 2'!$B$3:$B$29,"introuvable")</f>
        <v>Communication et sémiologie</v>
      </c>
      <c r="B31" s="4" t="s">
        <v>128</v>
      </c>
      <c r="C31" s="2" t="s">
        <v>24</v>
      </c>
      <c r="D31" s="4">
        <f>_xlfn.XLOOKUP(B31,'Semestre 2'!$D$3:$D$29,'Semestre 2'!$C$3:$C$29,"introuvable")</f>
        <v>15</v>
      </c>
      <c r="E31" s="4">
        <f>IFERROR(IFERROR(SUMIFS('Base de données'!$G:$G, 'Base de données'!A:A, BD_etu_notes_S2_C3!C31, 'Base de données'!$C:$C, BD_etu_notes_S2_C3!A31), 0) / IFERROR(SUMIFS('Base de données'!$E:$E, 'Base de données'!A:A, BD_etu_notes_S2_C3!C31, 'Base de données'!$C:$C, BD_etu_notes_S2_C3!A31), 0),0)</f>
        <v>0</v>
      </c>
    </row>
    <row r="32" spans="1:5" x14ac:dyDescent="0.2">
      <c r="A32" s="4" t="str">
        <f>_xlfn.XLOOKUP(B32,'Semestre 2'!$D$3:$D$29,'Semestre 2'!$B$3:$B$29,"introuvable")</f>
        <v>Communication et sémiologie</v>
      </c>
      <c r="B32" s="4" t="s">
        <v>128</v>
      </c>
      <c r="C32" s="2" t="s">
        <v>26</v>
      </c>
      <c r="D32" s="4">
        <f>_xlfn.XLOOKUP(B32,'Semestre 2'!$D$3:$D$29,'Semestre 2'!$C$3:$C$29,"introuvable")</f>
        <v>15</v>
      </c>
      <c r="E32" s="4">
        <f>IFERROR(IFERROR(SUMIFS('Base de données'!$G:$G, 'Base de données'!A:A, BD_etu_notes_S2_C3!C32, 'Base de données'!$C:$C, BD_etu_notes_S2_C3!A32), 0) / IFERROR(SUMIFS('Base de données'!$E:$E, 'Base de données'!A:A, BD_etu_notes_S2_C3!C32, 'Base de données'!$C:$C, BD_etu_notes_S2_C3!A32), 0),0)</f>
        <v>0</v>
      </c>
    </row>
    <row r="33" spans="1:5" x14ac:dyDescent="0.2">
      <c r="A33" s="4" t="str">
        <f>_xlfn.XLOOKUP(B33,'Semestre 2'!$D$3:$D$29,'Semestre 2'!$B$3:$B$29,"introuvable")</f>
        <v>Communication et sémiologie</v>
      </c>
      <c r="B33" s="4" t="s">
        <v>128</v>
      </c>
      <c r="C33" s="2" t="s">
        <v>29</v>
      </c>
      <c r="D33" s="4">
        <f>_xlfn.XLOOKUP(B33,'Semestre 2'!$D$3:$D$29,'Semestre 2'!$C$3:$C$29,"introuvable")</f>
        <v>15</v>
      </c>
      <c r="E33" s="4">
        <f>IFERROR(IFERROR(SUMIFS('Base de données'!$G:$G, 'Base de données'!A:A, BD_etu_notes_S2_C3!C33, 'Base de données'!$C:$C, BD_etu_notes_S2_C3!A33), 0) / IFERROR(SUMIFS('Base de données'!$E:$E, 'Base de données'!A:A, BD_etu_notes_S2_C3!C33, 'Base de données'!$C:$C, BD_etu_notes_S2_C3!A33), 0),0)</f>
        <v>0</v>
      </c>
    </row>
    <row r="34" spans="1:5" x14ac:dyDescent="0.2">
      <c r="A34" s="4" t="str">
        <f>_xlfn.XLOOKUP(B34,'Semestre 2'!$D$3:$D$29,'Semestre 2'!$B$3:$B$29,"introuvable")</f>
        <v>Étude des données de l'environnement entrepreneurial et économique</v>
      </c>
      <c r="B34" s="4" t="s">
        <v>130</v>
      </c>
      <c r="C34" s="2" t="s">
        <v>5</v>
      </c>
      <c r="D34" s="4">
        <f>_xlfn.XLOOKUP(B34,'Semestre 2'!$D$3:$D$29,'Semestre 2'!$C$3:$C$29,"introuvable")</f>
        <v>25</v>
      </c>
      <c r="E34" s="4">
        <f>IFERROR(IFERROR(SUMIFS('Base de données'!$G:$G, 'Base de données'!A:A, BD_etu_notes_S2_C3!C34, 'Base de données'!$C:$C, BD_etu_notes_S2_C3!A34), 0) / IFERROR(SUMIFS('Base de données'!$E:$E, 'Base de données'!A:A, BD_etu_notes_S2_C3!C34, 'Base de données'!$C:$C, BD_etu_notes_S2_C3!A34), 0),0)</f>
        <v>0</v>
      </c>
    </row>
    <row r="35" spans="1:5" x14ac:dyDescent="0.2">
      <c r="A35" s="4" t="str">
        <f>_xlfn.XLOOKUP(B35,'Semestre 2'!$D$3:$D$29,'Semestre 2'!$B$3:$B$29,"introuvable")</f>
        <v>Étude des données de l'environnement entrepreneurial et économique</v>
      </c>
      <c r="B35" s="4" t="s">
        <v>130</v>
      </c>
      <c r="C35" s="2" t="s">
        <v>9</v>
      </c>
      <c r="D35" s="4">
        <f>_xlfn.XLOOKUP(B35,'Semestre 2'!$D$3:$D$29,'Semestre 2'!$C$3:$C$29,"introuvable")</f>
        <v>25</v>
      </c>
      <c r="E35" s="4">
        <f>IFERROR(IFERROR(SUMIFS('Base de données'!$G:$G, 'Base de données'!A:A, BD_etu_notes_S2_C3!C35, 'Base de données'!$C:$C, BD_etu_notes_S2_C3!A35), 0) / IFERROR(SUMIFS('Base de données'!$E:$E, 'Base de données'!A:A, BD_etu_notes_S2_C3!C35, 'Base de données'!$C:$C, BD_etu_notes_S2_C3!A35), 0),0)</f>
        <v>0</v>
      </c>
    </row>
    <row r="36" spans="1:5" x14ac:dyDescent="0.2">
      <c r="A36" s="4" t="str">
        <f>_xlfn.XLOOKUP(B36,'Semestre 2'!$D$3:$D$29,'Semestre 2'!$B$3:$B$29,"introuvable")</f>
        <v>Étude des données de l'environnement entrepreneurial et économique</v>
      </c>
      <c r="B36" s="4" t="s">
        <v>130</v>
      </c>
      <c r="C36" s="2" t="s">
        <v>11</v>
      </c>
      <c r="D36" s="4">
        <f>_xlfn.XLOOKUP(B36,'Semestre 2'!$D$3:$D$29,'Semestre 2'!$C$3:$C$29,"introuvable")</f>
        <v>25</v>
      </c>
      <c r="E36" s="4">
        <f>IFERROR(IFERROR(SUMIFS('Base de données'!$G:$G, 'Base de données'!A:A, BD_etu_notes_S2_C3!C36, 'Base de données'!$C:$C, BD_etu_notes_S2_C3!A36), 0) / IFERROR(SUMIFS('Base de données'!$E:$E, 'Base de données'!A:A, BD_etu_notes_S2_C3!C36, 'Base de données'!$C:$C, BD_etu_notes_S2_C3!A36), 0),0)</f>
        <v>0</v>
      </c>
    </row>
    <row r="37" spans="1:5" x14ac:dyDescent="0.2">
      <c r="A37" s="4" t="str">
        <f>_xlfn.XLOOKUP(B37,'Semestre 2'!$D$3:$D$29,'Semestre 2'!$B$3:$B$29,"introuvable")</f>
        <v>Étude des données de l'environnement entrepreneurial et économique</v>
      </c>
      <c r="B37" s="4" t="s">
        <v>130</v>
      </c>
      <c r="C37" s="2" t="s">
        <v>14</v>
      </c>
      <c r="D37" s="4">
        <f>_xlfn.XLOOKUP(B37,'Semestre 2'!$D$3:$D$29,'Semestre 2'!$C$3:$C$29,"introuvable")</f>
        <v>25</v>
      </c>
      <c r="E37" s="4">
        <f>IFERROR(IFERROR(SUMIFS('Base de données'!$G:$G, 'Base de données'!A:A, BD_etu_notes_S2_C3!C37, 'Base de données'!$C:$C, BD_etu_notes_S2_C3!A37), 0) / IFERROR(SUMIFS('Base de données'!$E:$E, 'Base de données'!A:A, BD_etu_notes_S2_C3!C37, 'Base de données'!$C:$C, BD_etu_notes_S2_C3!A37), 0),0)</f>
        <v>0</v>
      </c>
    </row>
    <row r="38" spans="1:5" x14ac:dyDescent="0.2">
      <c r="A38" s="4" t="str">
        <f>_xlfn.XLOOKUP(B38,'Semestre 2'!$D$3:$D$29,'Semestre 2'!$B$3:$B$29,"introuvable")</f>
        <v>Étude des données de l'environnement entrepreneurial et économique</v>
      </c>
      <c r="B38" s="4" t="s">
        <v>130</v>
      </c>
      <c r="C38" s="2" t="s">
        <v>16</v>
      </c>
      <c r="D38" s="4">
        <f>_xlfn.XLOOKUP(B38,'Semestre 2'!$D$3:$D$29,'Semestre 2'!$C$3:$C$29,"introuvable")</f>
        <v>25</v>
      </c>
      <c r="E38" s="4">
        <f>IFERROR(IFERROR(SUMIFS('Base de données'!$G:$G, 'Base de données'!A:A, BD_etu_notes_S2_C3!C38, 'Base de données'!$C:$C, BD_etu_notes_S2_C3!A38), 0) / IFERROR(SUMIFS('Base de données'!$E:$E, 'Base de données'!A:A, BD_etu_notes_S2_C3!C38, 'Base de données'!$C:$C, BD_etu_notes_S2_C3!A38), 0),0)</f>
        <v>0</v>
      </c>
    </row>
    <row r="39" spans="1:5" x14ac:dyDescent="0.2">
      <c r="A39" s="4" t="str">
        <f>_xlfn.XLOOKUP(B39,'Semestre 2'!$D$3:$D$29,'Semestre 2'!$B$3:$B$29,"introuvable")</f>
        <v>Étude des données de l'environnement entrepreneurial et économique</v>
      </c>
      <c r="B39" s="4" t="s">
        <v>130</v>
      </c>
      <c r="C39" s="2" t="s">
        <v>19</v>
      </c>
      <c r="D39" s="4">
        <f>_xlfn.XLOOKUP(B39,'Semestre 2'!$D$3:$D$29,'Semestre 2'!$C$3:$C$29,"introuvable")</f>
        <v>25</v>
      </c>
      <c r="E39" s="4">
        <f>IFERROR(IFERROR(SUMIFS('Base de données'!$G:$G, 'Base de données'!A:A, BD_etu_notes_S2_C3!C39, 'Base de données'!$C:$C, BD_etu_notes_S2_C3!A39), 0) / IFERROR(SUMIFS('Base de données'!$E:$E, 'Base de données'!A:A, BD_etu_notes_S2_C3!C39, 'Base de données'!$C:$C, BD_etu_notes_S2_C3!A39), 0),0)</f>
        <v>0</v>
      </c>
    </row>
    <row r="40" spans="1:5" x14ac:dyDescent="0.2">
      <c r="A40" s="4" t="str">
        <f>_xlfn.XLOOKUP(B40,'Semestre 2'!$D$3:$D$29,'Semestre 2'!$B$3:$B$29,"introuvable")</f>
        <v>Étude des données de l'environnement entrepreneurial et économique</v>
      </c>
      <c r="B40" s="4" t="s">
        <v>130</v>
      </c>
      <c r="C40" s="2" t="s">
        <v>21</v>
      </c>
      <c r="D40" s="4">
        <f>_xlfn.XLOOKUP(B40,'Semestre 2'!$D$3:$D$29,'Semestre 2'!$C$3:$C$29,"introuvable")</f>
        <v>25</v>
      </c>
      <c r="E40" s="4">
        <f>IFERROR(IFERROR(SUMIFS('Base de données'!$G:$G, 'Base de données'!A:A, BD_etu_notes_S2_C3!C40, 'Base de données'!$C:$C, BD_etu_notes_S2_C3!A40), 0) / IFERROR(SUMIFS('Base de données'!$E:$E, 'Base de données'!A:A, BD_etu_notes_S2_C3!C40, 'Base de données'!$C:$C, BD_etu_notes_S2_C3!A40), 0),0)</f>
        <v>0</v>
      </c>
    </row>
    <row r="41" spans="1:5" x14ac:dyDescent="0.2">
      <c r="A41" s="4" t="str">
        <f>_xlfn.XLOOKUP(B41,'Semestre 2'!$D$3:$D$29,'Semestre 2'!$B$3:$B$29,"introuvable")</f>
        <v>Étude des données de l'environnement entrepreneurial et économique</v>
      </c>
      <c r="B41" s="4" t="s">
        <v>130</v>
      </c>
      <c r="C41" s="2" t="s">
        <v>24</v>
      </c>
      <c r="D41" s="4">
        <f>_xlfn.XLOOKUP(B41,'Semestre 2'!$D$3:$D$29,'Semestre 2'!$C$3:$C$29,"introuvable")</f>
        <v>25</v>
      </c>
      <c r="E41" s="4">
        <f>IFERROR(IFERROR(SUMIFS('Base de données'!$G:$G, 'Base de données'!A:A, BD_etu_notes_S2_C3!C41, 'Base de données'!$C:$C, BD_etu_notes_S2_C3!A41), 0) / IFERROR(SUMIFS('Base de données'!$E:$E, 'Base de données'!A:A, BD_etu_notes_S2_C3!C41, 'Base de données'!$C:$C, BD_etu_notes_S2_C3!A41), 0),0)</f>
        <v>0</v>
      </c>
    </row>
    <row r="42" spans="1:5" x14ac:dyDescent="0.2">
      <c r="A42" s="4" t="str">
        <f>_xlfn.XLOOKUP(B42,'Semestre 2'!$D$3:$D$29,'Semestre 2'!$B$3:$B$29,"introuvable")</f>
        <v>Étude des données de l'environnement entrepreneurial et économique</v>
      </c>
      <c r="B42" s="4" t="s">
        <v>130</v>
      </c>
      <c r="C42" s="2" t="s">
        <v>26</v>
      </c>
      <c r="D42" s="4">
        <f>_xlfn.XLOOKUP(B42,'Semestre 2'!$D$3:$D$29,'Semestre 2'!$C$3:$C$29,"introuvable")</f>
        <v>25</v>
      </c>
      <c r="E42" s="4">
        <f>IFERROR(IFERROR(SUMIFS('Base de données'!$G:$G, 'Base de données'!A:A, BD_etu_notes_S2_C3!C42, 'Base de données'!$C:$C, BD_etu_notes_S2_C3!A42), 0) / IFERROR(SUMIFS('Base de données'!$E:$E, 'Base de données'!A:A, BD_etu_notes_S2_C3!C42, 'Base de données'!$C:$C, BD_etu_notes_S2_C3!A42), 0),0)</f>
        <v>0</v>
      </c>
    </row>
    <row r="43" spans="1:5" x14ac:dyDescent="0.2">
      <c r="A43" s="4" t="str">
        <f>_xlfn.XLOOKUP(B43,'Semestre 2'!$D$3:$D$29,'Semestre 2'!$B$3:$B$29,"introuvable")</f>
        <v>Étude des données de l'environnement entrepreneurial et économique</v>
      </c>
      <c r="B43" s="4" t="s">
        <v>130</v>
      </c>
      <c r="C43" s="2" t="s">
        <v>29</v>
      </c>
      <c r="D43" s="4">
        <f>_xlfn.XLOOKUP(B43,'Semestre 2'!$D$3:$D$29,'Semestre 2'!$C$3:$C$29,"introuvable")</f>
        <v>25</v>
      </c>
      <c r="E43" s="4">
        <f>IFERROR(IFERROR(SUMIFS('Base de données'!$G:$G, 'Base de données'!A:A, BD_etu_notes_S2_C3!C43, 'Base de données'!$C:$C, BD_etu_notes_S2_C3!A43), 0) / IFERROR(SUMIFS('Base de données'!$E:$E, 'Base de données'!A:A, BD_etu_notes_S2_C3!C43, 'Base de données'!$C:$C, BD_etu_notes_S2_C3!A43), 0),0)</f>
        <v>0</v>
      </c>
    </row>
    <row r="44" spans="1:5" x14ac:dyDescent="0.2">
      <c r="A44" s="4" t="str">
        <f>_xlfn.XLOOKUP(B44,'Semestre 2'!$D$3:$D$29,'Semestre 2'!$B$3:$B$29,"introuvable")</f>
        <v>SAÉ - Datavisualisation</v>
      </c>
      <c r="B44" s="4" t="s">
        <v>131</v>
      </c>
      <c r="C44" s="2" t="s">
        <v>5</v>
      </c>
      <c r="D44" s="4">
        <f>_xlfn.XLOOKUP(B44,'Semestre 2'!$D$3:$D$29,'Semestre 2'!$C$3:$C$29,"introuvable")</f>
        <v>5</v>
      </c>
      <c r="E44" s="4">
        <f>IFERROR(IFERROR(SUMIFS('Base de données'!$G:$G, 'Base de données'!A:A, BD_etu_notes_S2_C3!C44, 'Base de données'!$C:$C, BD_etu_notes_S2_C3!A44), 0) / IFERROR(SUMIFS('Base de données'!$E:$E, 'Base de données'!A:A, BD_etu_notes_S2_C3!C44, 'Base de données'!$C:$C, BD_etu_notes_S2_C3!A44), 0),0)</f>
        <v>11</v>
      </c>
    </row>
    <row r="45" spans="1:5" x14ac:dyDescent="0.2">
      <c r="A45" s="4" t="str">
        <f>_xlfn.XLOOKUP(B45,'Semestre 2'!$D$3:$D$29,'Semestre 2'!$B$3:$B$29,"introuvable")</f>
        <v>SAÉ - Datavisualisation</v>
      </c>
      <c r="B45" s="4" t="s">
        <v>131</v>
      </c>
      <c r="C45" s="2" t="s">
        <v>9</v>
      </c>
      <c r="D45" s="4">
        <f>_xlfn.XLOOKUP(B45,'Semestre 2'!$D$3:$D$29,'Semestre 2'!$C$3:$C$29,"introuvable")</f>
        <v>5</v>
      </c>
      <c r="E45" s="4">
        <f>IFERROR(IFERROR(SUMIFS('Base de données'!$G:$G, 'Base de données'!A:A, BD_etu_notes_S2_C3!C45, 'Base de données'!$C:$C, BD_etu_notes_S2_C3!A45), 0) / IFERROR(SUMIFS('Base de données'!$E:$E, 'Base de données'!A:A, BD_etu_notes_S2_C3!C45, 'Base de données'!$C:$C, BD_etu_notes_S2_C3!A45), 0),0)</f>
        <v>13.5</v>
      </c>
    </row>
    <row r="46" spans="1:5" x14ac:dyDescent="0.2">
      <c r="A46" s="4" t="str">
        <f>_xlfn.XLOOKUP(B46,'Semestre 2'!$D$3:$D$29,'Semestre 2'!$B$3:$B$29,"introuvable")</f>
        <v>SAÉ - Datavisualisation</v>
      </c>
      <c r="B46" s="4" t="s">
        <v>131</v>
      </c>
      <c r="C46" s="2" t="s">
        <v>11</v>
      </c>
      <c r="D46" s="4">
        <f>_xlfn.XLOOKUP(B46,'Semestre 2'!$D$3:$D$29,'Semestre 2'!$C$3:$C$29,"introuvable")</f>
        <v>5</v>
      </c>
      <c r="E46" s="4">
        <f>IFERROR(IFERROR(SUMIFS('Base de données'!$G:$G, 'Base de données'!A:A, BD_etu_notes_S2_C3!C46, 'Base de données'!$C:$C, BD_etu_notes_S2_C3!A46), 0) / IFERROR(SUMIFS('Base de données'!$E:$E, 'Base de données'!A:A, BD_etu_notes_S2_C3!C46, 'Base de données'!$C:$C, BD_etu_notes_S2_C3!A46), 0),0)</f>
        <v>12</v>
      </c>
    </row>
    <row r="47" spans="1:5" x14ac:dyDescent="0.2">
      <c r="A47" s="4" t="str">
        <f>_xlfn.XLOOKUP(B47,'Semestre 2'!$D$3:$D$29,'Semestre 2'!$B$3:$B$29,"introuvable")</f>
        <v>SAÉ - Datavisualisation</v>
      </c>
      <c r="B47" s="4" t="s">
        <v>131</v>
      </c>
      <c r="C47" s="2" t="s">
        <v>14</v>
      </c>
      <c r="D47" s="4">
        <f>_xlfn.XLOOKUP(B47,'Semestre 2'!$D$3:$D$29,'Semestre 2'!$C$3:$C$29,"introuvable")</f>
        <v>5</v>
      </c>
      <c r="E47" s="4">
        <f>IFERROR(IFERROR(SUMIFS('Base de données'!$G:$G, 'Base de données'!A:A, BD_etu_notes_S2_C3!C47, 'Base de données'!$C:$C, BD_etu_notes_S2_C3!A47), 0) / IFERROR(SUMIFS('Base de données'!$E:$E, 'Base de données'!A:A, BD_etu_notes_S2_C3!C47, 'Base de données'!$C:$C, BD_etu_notes_S2_C3!A47), 0),0)</f>
        <v>10</v>
      </c>
    </row>
    <row r="48" spans="1:5" x14ac:dyDescent="0.2">
      <c r="A48" s="4" t="str">
        <f>_xlfn.XLOOKUP(B48,'Semestre 2'!$D$3:$D$29,'Semestre 2'!$B$3:$B$29,"introuvable")</f>
        <v>SAÉ - Datavisualisation</v>
      </c>
      <c r="B48" s="4" t="s">
        <v>131</v>
      </c>
      <c r="C48" s="2" t="s">
        <v>16</v>
      </c>
      <c r="D48" s="4">
        <f>_xlfn.XLOOKUP(B48,'Semestre 2'!$D$3:$D$29,'Semestre 2'!$C$3:$C$29,"introuvable")</f>
        <v>5</v>
      </c>
      <c r="E48" s="4">
        <f>IFERROR(IFERROR(SUMIFS('Base de données'!$G:$G, 'Base de données'!A:A, BD_etu_notes_S2_C3!C48, 'Base de données'!$C:$C, BD_etu_notes_S2_C3!A48), 0) / IFERROR(SUMIFS('Base de données'!$E:$E, 'Base de données'!A:A, BD_etu_notes_S2_C3!C48, 'Base de données'!$C:$C, BD_etu_notes_S2_C3!A48), 0),0)</f>
        <v>14.5</v>
      </c>
    </row>
    <row r="49" spans="1:5" x14ac:dyDescent="0.2">
      <c r="A49" s="4" t="str">
        <f>_xlfn.XLOOKUP(B49,'Semestre 2'!$D$3:$D$29,'Semestre 2'!$B$3:$B$29,"introuvable")</f>
        <v>SAÉ - Datavisualisation</v>
      </c>
      <c r="B49" s="4" t="s">
        <v>131</v>
      </c>
      <c r="C49" s="2" t="s">
        <v>19</v>
      </c>
      <c r="D49" s="4">
        <f>_xlfn.XLOOKUP(B49,'Semestre 2'!$D$3:$D$29,'Semestre 2'!$C$3:$C$29,"introuvable")</f>
        <v>5</v>
      </c>
      <c r="E49" s="4">
        <f>IFERROR(IFERROR(SUMIFS('Base de données'!$G:$G, 'Base de données'!A:A, BD_etu_notes_S2_C3!C49, 'Base de données'!$C:$C, BD_etu_notes_S2_C3!A49), 0) / IFERROR(SUMIFS('Base de données'!$E:$E, 'Base de données'!A:A, BD_etu_notes_S2_C3!C49, 'Base de données'!$C:$C, BD_etu_notes_S2_C3!A49), 0),0)</f>
        <v>10.5</v>
      </c>
    </row>
    <row r="50" spans="1:5" x14ac:dyDescent="0.2">
      <c r="A50" s="4" t="str">
        <f>_xlfn.XLOOKUP(B50,'Semestre 2'!$D$3:$D$29,'Semestre 2'!$B$3:$B$29,"introuvable")</f>
        <v>SAÉ - Datavisualisation</v>
      </c>
      <c r="B50" s="4" t="s">
        <v>131</v>
      </c>
      <c r="C50" s="2" t="s">
        <v>21</v>
      </c>
      <c r="D50" s="4">
        <f>_xlfn.XLOOKUP(B50,'Semestre 2'!$D$3:$D$29,'Semestre 2'!$C$3:$C$29,"introuvable")</f>
        <v>5</v>
      </c>
      <c r="E50" s="4">
        <f>IFERROR(IFERROR(SUMIFS('Base de données'!$G:$G, 'Base de données'!A:A, BD_etu_notes_S2_C3!C50, 'Base de données'!$C:$C, BD_etu_notes_S2_C3!A50), 0) / IFERROR(SUMIFS('Base de données'!$E:$E, 'Base de données'!A:A, BD_etu_notes_S2_C3!C50, 'Base de données'!$C:$C, BD_etu_notes_S2_C3!A50), 0),0)</f>
        <v>15</v>
      </c>
    </row>
    <row r="51" spans="1:5" x14ac:dyDescent="0.2">
      <c r="A51" s="4" t="str">
        <f>_xlfn.XLOOKUP(B51,'Semestre 2'!$D$3:$D$29,'Semestre 2'!$B$3:$B$29,"introuvable")</f>
        <v>SAÉ - Datavisualisation</v>
      </c>
      <c r="B51" s="4" t="s">
        <v>131</v>
      </c>
      <c r="C51" s="2" t="s">
        <v>24</v>
      </c>
      <c r="D51" s="4">
        <f>_xlfn.XLOOKUP(B51,'Semestre 2'!$D$3:$D$29,'Semestre 2'!$C$3:$C$29,"introuvable")</f>
        <v>5</v>
      </c>
      <c r="E51" s="4">
        <f>IFERROR(IFERROR(SUMIFS('Base de données'!$G:$G, 'Base de données'!A:A, BD_etu_notes_S2_C3!C51, 'Base de données'!$C:$C, BD_etu_notes_S2_C3!A51), 0) / IFERROR(SUMIFS('Base de données'!$E:$E, 'Base de données'!A:A, BD_etu_notes_S2_C3!C51, 'Base de données'!$C:$C, BD_etu_notes_S2_C3!A51), 0),0)</f>
        <v>14.5</v>
      </c>
    </row>
    <row r="52" spans="1:5" x14ac:dyDescent="0.2">
      <c r="A52" s="4" t="str">
        <f>_xlfn.XLOOKUP(B52,'Semestre 2'!$D$3:$D$29,'Semestre 2'!$B$3:$B$29,"introuvable")</f>
        <v>SAÉ - Datavisualisation</v>
      </c>
      <c r="B52" s="4" t="s">
        <v>131</v>
      </c>
      <c r="C52" s="2" t="s">
        <v>26</v>
      </c>
      <c r="D52" s="4">
        <f>_xlfn.XLOOKUP(B52,'Semestre 2'!$D$3:$D$29,'Semestre 2'!$C$3:$C$29,"introuvable")</f>
        <v>5</v>
      </c>
      <c r="E52" s="4">
        <f>IFERROR(IFERROR(SUMIFS('Base de données'!$G:$G, 'Base de données'!A:A, BD_etu_notes_S2_C3!C52, 'Base de données'!$C:$C, BD_etu_notes_S2_C3!A52), 0) / IFERROR(SUMIFS('Base de données'!$E:$E, 'Base de données'!A:A, BD_etu_notes_S2_C3!C52, 'Base de données'!$C:$C, BD_etu_notes_S2_C3!A52), 0),0)</f>
        <v>14</v>
      </c>
    </row>
    <row r="53" spans="1:5" x14ac:dyDescent="0.2">
      <c r="A53" s="4" t="str">
        <f>_xlfn.XLOOKUP(B53,'Semestre 2'!$D$3:$D$29,'Semestre 2'!$B$3:$B$29,"introuvable")</f>
        <v>SAÉ - Datavisualisation</v>
      </c>
      <c r="B53" s="4" t="s">
        <v>131</v>
      </c>
      <c r="C53" s="2" t="s">
        <v>29</v>
      </c>
      <c r="D53" s="4">
        <f>_xlfn.XLOOKUP(B53,'Semestre 2'!$D$3:$D$29,'Semestre 2'!$C$3:$C$29,"introuvable")</f>
        <v>5</v>
      </c>
      <c r="E53" s="4">
        <f>IFERROR(IFERROR(SUMIFS('Base de données'!$G:$G, 'Base de données'!A:A, BD_etu_notes_S2_C3!C53, 'Base de données'!$C:$C, BD_etu_notes_S2_C3!A53), 0) / IFERROR(SUMIFS('Base de données'!$E:$E, 'Base de données'!A:A, BD_etu_notes_S2_C3!C53, 'Base de données'!$C:$C, BD_etu_notes_S2_C3!A53), 0),0)</f>
        <v>12.5</v>
      </c>
    </row>
    <row r="54" spans="1:5" x14ac:dyDescent="0.2">
      <c r="A54" s="4" t="str">
        <f>_xlfn.XLOOKUP(B54,'Semestre 2'!$D$3:$D$29,'Semestre 2'!$B$3:$B$29,"introuvable")</f>
        <v>SAÉ - Construction et présentation d'indicateurs de performance</v>
      </c>
      <c r="B54" s="4" t="s">
        <v>133</v>
      </c>
      <c r="C54" s="2" t="s">
        <v>5</v>
      </c>
      <c r="D54" s="4">
        <f>_xlfn.XLOOKUP(B54,'Semestre 2'!$D$3:$D$29,'Semestre 2'!$C$3:$C$29,"introuvable")</f>
        <v>10</v>
      </c>
      <c r="E54" s="4">
        <f>IFERROR(IFERROR(SUMIFS('Base de données'!$G:$G, 'Base de données'!A:A, BD_etu_notes_S2_C3!C54, 'Base de données'!$C:$C, BD_etu_notes_S2_C3!A54), 0) / IFERROR(SUMIFS('Base de données'!$E:$E, 'Base de données'!A:A, BD_etu_notes_S2_C3!C54, 'Base de données'!$C:$C, BD_etu_notes_S2_C3!A54), 0),0)</f>
        <v>0</v>
      </c>
    </row>
    <row r="55" spans="1:5" x14ac:dyDescent="0.2">
      <c r="A55" s="4" t="str">
        <f>_xlfn.XLOOKUP(B55,'Semestre 2'!$D$3:$D$29,'Semestre 2'!$B$3:$B$29,"introuvable")</f>
        <v>SAÉ - Construction et présentation d'indicateurs de performance</v>
      </c>
      <c r="B55" s="4" t="s">
        <v>133</v>
      </c>
      <c r="C55" s="2" t="s">
        <v>9</v>
      </c>
      <c r="D55" s="4">
        <f>_xlfn.XLOOKUP(B55,'Semestre 2'!$D$3:$D$29,'Semestre 2'!$C$3:$C$29,"introuvable")</f>
        <v>10</v>
      </c>
      <c r="E55" s="4">
        <f>IFERROR(IFERROR(SUMIFS('Base de données'!$G:$G, 'Base de données'!A:A, BD_etu_notes_S2_C3!C55, 'Base de données'!$C:$C, BD_etu_notes_S2_C3!A55), 0) / IFERROR(SUMIFS('Base de données'!$E:$E, 'Base de données'!A:A, BD_etu_notes_S2_C3!C55, 'Base de données'!$C:$C, BD_etu_notes_S2_C3!A55), 0),0)</f>
        <v>0</v>
      </c>
    </row>
    <row r="56" spans="1:5" x14ac:dyDescent="0.2">
      <c r="A56" s="4" t="str">
        <f>_xlfn.XLOOKUP(B56,'Semestre 2'!$D$3:$D$29,'Semestre 2'!$B$3:$B$29,"introuvable")</f>
        <v>SAÉ - Construction et présentation d'indicateurs de performance</v>
      </c>
      <c r="B56" s="4" t="s">
        <v>133</v>
      </c>
      <c r="C56" s="2" t="s">
        <v>11</v>
      </c>
      <c r="D56" s="4">
        <f>_xlfn.XLOOKUP(B56,'Semestre 2'!$D$3:$D$29,'Semestre 2'!$C$3:$C$29,"introuvable")</f>
        <v>10</v>
      </c>
      <c r="E56" s="4">
        <f>IFERROR(IFERROR(SUMIFS('Base de données'!$G:$G, 'Base de données'!A:A, BD_etu_notes_S2_C3!C56, 'Base de données'!$C:$C, BD_etu_notes_S2_C3!A56), 0) / IFERROR(SUMIFS('Base de données'!$E:$E, 'Base de données'!A:A, BD_etu_notes_S2_C3!C56, 'Base de données'!$C:$C, BD_etu_notes_S2_C3!A56), 0),0)</f>
        <v>0</v>
      </c>
    </row>
    <row r="57" spans="1:5" x14ac:dyDescent="0.2">
      <c r="A57" s="4" t="str">
        <f>_xlfn.XLOOKUP(B57,'Semestre 2'!$D$3:$D$29,'Semestre 2'!$B$3:$B$29,"introuvable")</f>
        <v>SAÉ - Construction et présentation d'indicateurs de performance</v>
      </c>
      <c r="B57" s="4" t="s">
        <v>133</v>
      </c>
      <c r="C57" s="2" t="s">
        <v>14</v>
      </c>
      <c r="D57" s="4">
        <f>_xlfn.XLOOKUP(B57,'Semestre 2'!$D$3:$D$29,'Semestre 2'!$C$3:$C$29,"introuvable")</f>
        <v>10</v>
      </c>
      <c r="E57" s="4">
        <f>IFERROR(IFERROR(SUMIFS('Base de données'!$G:$G, 'Base de données'!A:A, BD_etu_notes_S2_C3!C57, 'Base de données'!$C:$C, BD_etu_notes_S2_C3!A57), 0) / IFERROR(SUMIFS('Base de données'!$E:$E, 'Base de données'!A:A, BD_etu_notes_S2_C3!C57, 'Base de données'!$C:$C, BD_etu_notes_S2_C3!A57), 0),0)</f>
        <v>0</v>
      </c>
    </row>
    <row r="58" spans="1:5" x14ac:dyDescent="0.2">
      <c r="A58" s="4" t="str">
        <f>_xlfn.XLOOKUP(B58,'Semestre 2'!$D$3:$D$29,'Semestre 2'!$B$3:$B$29,"introuvable")</f>
        <v>SAÉ - Construction et présentation d'indicateurs de performance</v>
      </c>
      <c r="B58" s="4" t="s">
        <v>133</v>
      </c>
      <c r="C58" s="2" t="s">
        <v>16</v>
      </c>
      <c r="D58" s="4">
        <f>_xlfn.XLOOKUP(B58,'Semestre 2'!$D$3:$D$29,'Semestre 2'!$C$3:$C$29,"introuvable")</f>
        <v>10</v>
      </c>
      <c r="E58" s="4">
        <f>IFERROR(IFERROR(SUMIFS('Base de données'!$G:$G, 'Base de données'!A:A, BD_etu_notes_S2_C3!C58, 'Base de données'!$C:$C, BD_etu_notes_S2_C3!A58), 0) / IFERROR(SUMIFS('Base de données'!$E:$E, 'Base de données'!A:A, BD_etu_notes_S2_C3!C58, 'Base de données'!$C:$C, BD_etu_notes_S2_C3!A58), 0),0)</f>
        <v>0</v>
      </c>
    </row>
    <row r="59" spans="1:5" x14ac:dyDescent="0.2">
      <c r="A59" s="4" t="str">
        <f>_xlfn.XLOOKUP(B59,'Semestre 2'!$D$3:$D$29,'Semestre 2'!$B$3:$B$29,"introuvable")</f>
        <v>SAÉ - Construction et présentation d'indicateurs de performance</v>
      </c>
      <c r="B59" s="4" t="s">
        <v>133</v>
      </c>
      <c r="C59" s="2" t="s">
        <v>19</v>
      </c>
      <c r="D59" s="4">
        <f>_xlfn.XLOOKUP(B59,'Semestre 2'!$D$3:$D$29,'Semestre 2'!$C$3:$C$29,"introuvable")</f>
        <v>10</v>
      </c>
      <c r="E59" s="4">
        <f>IFERROR(IFERROR(SUMIFS('Base de données'!$G:$G, 'Base de données'!A:A, BD_etu_notes_S2_C3!C59, 'Base de données'!$C:$C, BD_etu_notes_S2_C3!A59), 0) / IFERROR(SUMIFS('Base de données'!$E:$E, 'Base de données'!A:A, BD_etu_notes_S2_C3!C59, 'Base de données'!$C:$C, BD_etu_notes_S2_C3!A59), 0),0)</f>
        <v>0</v>
      </c>
    </row>
    <row r="60" spans="1:5" x14ac:dyDescent="0.2">
      <c r="A60" s="4" t="str">
        <f>_xlfn.XLOOKUP(B60,'Semestre 2'!$D$3:$D$29,'Semestre 2'!$B$3:$B$29,"introuvable")</f>
        <v>SAÉ - Construction et présentation d'indicateurs de performance</v>
      </c>
      <c r="B60" s="4" t="s">
        <v>133</v>
      </c>
      <c r="C60" s="2" t="s">
        <v>21</v>
      </c>
      <c r="D60" s="4">
        <f>_xlfn.XLOOKUP(B60,'Semestre 2'!$D$3:$D$29,'Semestre 2'!$C$3:$C$29,"introuvable")</f>
        <v>10</v>
      </c>
      <c r="E60" s="4">
        <f>IFERROR(IFERROR(SUMIFS('Base de données'!$G:$G, 'Base de données'!A:A, BD_etu_notes_S2_C3!C60, 'Base de données'!$C:$C, BD_etu_notes_S2_C3!A60), 0) / IFERROR(SUMIFS('Base de données'!$E:$E, 'Base de données'!A:A, BD_etu_notes_S2_C3!C60, 'Base de données'!$C:$C, BD_etu_notes_S2_C3!A60), 0),0)</f>
        <v>0</v>
      </c>
    </row>
    <row r="61" spans="1:5" x14ac:dyDescent="0.2">
      <c r="A61" s="4" t="str">
        <f>_xlfn.XLOOKUP(B61,'Semestre 2'!$D$3:$D$29,'Semestre 2'!$B$3:$B$29,"introuvable")</f>
        <v>SAÉ - Construction et présentation d'indicateurs de performance</v>
      </c>
      <c r="B61" s="4" t="s">
        <v>133</v>
      </c>
      <c r="C61" s="2" t="s">
        <v>24</v>
      </c>
      <c r="D61" s="4">
        <f>_xlfn.XLOOKUP(B61,'Semestre 2'!$D$3:$D$29,'Semestre 2'!$C$3:$C$29,"introuvable")</f>
        <v>10</v>
      </c>
      <c r="E61" s="4">
        <f>IFERROR(IFERROR(SUMIFS('Base de données'!$G:$G, 'Base de données'!A:A, BD_etu_notes_S2_C3!C61, 'Base de données'!$C:$C, BD_etu_notes_S2_C3!A61), 0) / IFERROR(SUMIFS('Base de données'!$E:$E, 'Base de données'!A:A, BD_etu_notes_S2_C3!C61, 'Base de données'!$C:$C, BD_etu_notes_S2_C3!A61), 0),0)</f>
        <v>0</v>
      </c>
    </row>
    <row r="62" spans="1:5" x14ac:dyDescent="0.2">
      <c r="A62" s="4" t="str">
        <f>_xlfn.XLOOKUP(B62,'Semestre 2'!$D$3:$D$29,'Semestre 2'!$B$3:$B$29,"introuvable")</f>
        <v>SAÉ - Construction et présentation d'indicateurs de performance</v>
      </c>
      <c r="B62" s="4" t="s">
        <v>133</v>
      </c>
      <c r="C62" s="2" t="s">
        <v>26</v>
      </c>
      <c r="D62" s="4">
        <f>_xlfn.XLOOKUP(B62,'Semestre 2'!$D$3:$D$29,'Semestre 2'!$C$3:$C$29,"introuvable")</f>
        <v>10</v>
      </c>
      <c r="E62" s="4">
        <f>IFERROR(IFERROR(SUMIFS('Base de données'!$G:$G, 'Base de données'!A:A, BD_etu_notes_S2_C3!C62, 'Base de données'!$C:$C, BD_etu_notes_S2_C3!A62), 0) / IFERROR(SUMIFS('Base de données'!$E:$E, 'Base de données'!A:A, BD_etu_notes_S2_C3!C62, 'Base de données'!$C:$C, BD_etu_notes_S2_C3!A62), 0),0)</f>
        <v>0</v>
      </c>
    </row>
    <row r="63" spans="1:5" x14ac:dyDescent="0.2">
      <c r="A63" s="4" t="str">
        <f>_xlfn.XLOOKUP(B63,'Semestre 2'!$D$3:$D$29,'Semestre 2'!$B$3:$B$29,"introuvable")</f>
        <v>SAÉ - Construction et présentation d'indicateurs de performance</v>
      </c>
      <c r="B63" s="4" t="s">
        <v>133</v>
      </c>
      <c r="C63" s="2" t="s">
        <v>29</v>
      </c>
      <c r="D63" s="4">
        <f>_xlfn.XLOOKUP(B63,'Semestre 2'!$D$3:$D$29,'Semestre 2'!$C$3:$C$29,"introuvable")</f>
        <v>10</v>
      </c>
      <c r="E63" s="4">
        <f>IFERROR(IFERROR(SUMIFS('Base de données'!$G:$G, 'Base de données'!A:A, BD_etu_notes_S2_C3!C63, 'Base de données'!$C:$C, BD_etu_notes_S2_C3!A63), 0) / IFERROR(SUMIFS('Base de données'!$E:$E, 'Base de données'!A:A, BD_etu_notes_S2_C3!C63, 'Base de données'!$C:$C, BD_etu_notes_S2_C3!A63), 0),0)</f>
        <v>0</v>
      </c>
    </row>
    <row r="64" spans="1:5" x14ac:dyDescent="0.2">
      <c r="A64" s="4" t="str">
        <f>_xlfn.XLOOKUP(B64,'Semestre 2'!$D$3:$D$29,'Semestre 2'!$B$3:$B$29,"introuvable")</f>
        <v>SAÉ - Analyse de données, reporting et datavisualisation</v>
      </c>
      <c r="B64" s="4" t="s">
        <v>134</v>
      </c>
      <c r="C64" s="2" t="s">
        <v>5</v>
      </c>
      <c r="D64" s="4">
        <f>_xlfn.XLOOKUP(B64,'Semestre 2'!$D$3:$D$29,'Semestre 2'!$C$3:$C$29,"introuvable")</f>
        <v>20</v>
      </c>
      <c r="E64" s="4">
        <f>IFERROR(IFERROR(SUMIFS('Base de données'!$G:$G, 'Base de données'!A:A, BD_etu_notes_S2_C3!C64, 'Base de données'!$C:$C, BD_etu_notes_S2_C3!A64), 0) / IFERROR(SUMIFS('Base de données'!$E:$E, 'Base de données'!A:A, BD_etu_notes_S2_C3!C64, 'Base de données'!$C:$C, BD_etu_notes_S2_C3!A64), 0),0)</f>
        <v>17.5</v>
      </c>
    </row>
    <row r="65" spans="1:5" x14ac:dyDescent="0.2">
      <c r="A65" s="4" t="str">
        <f>_xlfn.XLOOKUP(B65,'Semestre 2'!$D$3:$D$29,'Semestre 2'!$B$3:$B$29,"introuvable")</f>
        <v>SAÉ - Analyse de données, reporting et datavisualisation</v>
      </c>
      <c r="B65" s="4" t="s">
        <v>134</v>
      </c>
      <c r="C65" s="2" t="s">
        <v>9</v>
      </c>
      <c r="D65" s="4">
        <f>_xlfn.XLOOKUP(B65,'Semestre 2'!$D$3:$D$29,'Semestre 2'!$C$3:$C$29,"introuvable")</f>
        <v>20</v>
      </c>
      <c r="E65" s="4">
        <f>IFERROR(IFERROR(SUMIFS('Base de données'!$G:$G, 'Base de données'!A:A, BD_etu_notes_S2_C3!C65, 'Base de données'!$C:$C, BD_etu_notes_S2_C3!A65), 0) / IFERROR(SUMIFS('Base de données'!$E:$E, 'Base de données'!A:A, BD_etu_notes_S2_C3!C65, 'Base de données'!$C:$C, BD_etu_notes_S2_C3!A65), 0),0)</f>
        <v>18</v>
      </c>
    </row>
    <row r="66" spans="1:5" x14ac:dyDescent="0.2">
      <c r="A66" s="4" t="str">
        <f>_xlfn.XLOOKUP(B66,'Semestre 2'!$D$3:$D$29,'Semestre 2'!$B$3:$B$29,"introuvable")</f>
        <v>SAÉ - Analyse de données, reporting et datavisualisation</v>
      </c>
      <c r="B66" s="4" t="s">
        <v>134</v>
      </c>
      <c r="C66" s="2" t="s">
        <v>11</v>
      </c>
      <c r="D66" s="4">
        <f>_xlfn.XLOOKUP(B66,'Semestre 2'!$D$3:$D$29,'Semestre 2'!$C$3:$C$29,"introuvable")</f>
        <v>20</v>
      </c>
      <c r="E66" s="4">
        <f>IFERROR(IFERROR(SUMIFS('Base de données'!$G:$G, 'Base de données'!A:A, BD_etu_notes_S2_C3!C66, 'Base de données'!$C:$C, BD_etu_notes_S2_C3!A66), 0) / IFERROR(SUMIFS('Base de données'!$E:$E, 'Base de données'!A:A, BD_etu_notes_S2_C3!C66, 'Base de données'!$C:$C, BD_etu_notes_S2_C3!A66), 0),0)</f>
        <v>19</v>
      </c>
    </row>
    <row r="67" spans="1:5" x14ac:dyDescent="0.2">
      <c r="A67" s="4" t="str">
        <f>_xlfn.XLOOKUP(B67,'Semestre 2'!$D$3:$D$29,'Semestre 2'!$B$3:$B$29,"introuvable")</f>
        <v>SAÉ - Analyse de données, reporting et datavisualisation</v>
      </c>
      <c r="B67" s="4" t="s">
        <v>134</v>
      </c>
      <c r="C67" s="2" t="s">
        <v>14</v>
      </c>
      <c r="D67" s="4">
        <f>_xlfn.XLOOKUP(B67,'Semestre 2'!$D$3:$D$29,'Semestre 2'!$C$3:$C$29,"introuvable")</f>
        <v>20</v>
      </c>
      <c r="E67" s="4">
        <f>IFERROR(IFERROR(SUMIFS('Base de données'!$G:$G, 'Base de données'!A:A, BD_etu_notes_S2_C3!C67, 'Base de données'!$C:$C, BD_etu_notes_S2_C3!A67), 0) / IFERROR(SUMIFS('Base de données'!$E:$E, 'Base de données'!A:A, BD_etu_notes_S2_C3!C67, 'Base de données'!$C:$C, BD_etu_notes_S2_C3!A67), 0),0)</f>
        <v>17</v>
      </c>
    </row>
    <row r="68" spans="1:5" x14ac:dyDescent="0.2">
      <c r="A68" s="4" t="str">
        <f>_xlfn.XLOOKUP(B68,'Semestre 2'!$D$3:$D$29,'Semestre 2'!$B$3:$B$29,"introuvable")</f>
        <v>SAÉ - Analyse de données, reporting et datavisualisation</v>
      </c>
      <c r="B68" s="4" t="s">
        <v>134</v>
      </c>
      <c r="C68" s="2" t="s">
        <v>16</v>
      </c>
      <c r="D68" s="4">
        <f>_xlfn.XLOOKUP(B68,'Semestre 2'!$D$3:$D$29,'Semestre 2'!$C$3:$C$29,"introuvable")</f>
        <v>20</v>
      </c>
      <c r="E68" s="4">
        <f>IFERROR(IFERROR(SUMIFS('Base de données'!$G:$G, 'Base de données'!A:A, BD_etu_notes_S2_C3!C68, 'Base de données'!$C:$C, BD_etu_notes_S2_C3!A68), 0) / IFERROR(SUMIFS('Base de données'!$E:$E, 'Base de données'!A:A, BD_etu_notes_S2_C3!C68, 'Base de données'!$C:$C, BD_etu_notes_S2_C3!A68), 0),0)</f>
        <v>19.5</v>
      </c>
    </row>
    <row r="69" spans="1:5" x14ac:dyDescent="0.2">
      <c r="A69" s="4" t="str">
        <f>_xlfn.XLOOKUP(B69,'Semestre 2'!$D$3:$D$29,'Semestre 2'!$B$3:$B$29,"introuvable")</f>
        <v>SAÉ - Analyse de données, reporting et datavisualisation</v>
      </c>
      <c r="B69" s="4" t="s">
        <v>134</v>
      </c>
      <c r="C69" s="2" t="s">
        <v>19</v>
      </c>
      <c r="D69" s="4">
        <f>_xlfn.XLOOKUP(B69,'Semestre 2'!$D$3:$D$29,'Semestre 2'!$C$3:$C$29,"introuvable")</f>
        <v>20</v>
      </c>
      <c r="E69" s="4">
        <f>IFERROR(IFERROR(SUMIFS('Base de données'!$G:$G, 'Base de données'!A:A, BD_etu_notes_S2_C3!C69, 'Base de données'!$C:$C, BD_etu_notes_S2_C3!A69), 0) / IFERROR(SUMIFS('Base de données'!$E:$E, 'Base de données'!A:A, BD_etu_notes_S2_C3!C69, 'Base de données'!$C:$C, BD_etu_notes_S2_C3!A69), 0),0)</f>
        <v>18.5</v>
      </c>
    </row>
    <row r="70" spans="1:5" x14ac:dyDescent="0.2">
      <c r="A70" s="4" t="str">
        <f>_xlfn.XLOOKUP(B70,'Semestre 2'!$D$3:$D$29,'Semestre 2'!$B$3:$B$29,"introuvable")</f>
        <v>SAÉ - Analyse de données, reporting et datavisualisation</v>
      </c>
      <c r="B70" s="4" t="s">
        <v>134</v>
      </c>
      <c r="C70" s="2" t="s">
        <v>21</v>
      </c>
      <c r="D70" s="4">
        <f>_xlfn.XLOOKUP(B70,'Semestre 2'!$D$3:$D$29,'Semestre 2'!$C$3:$C$29,"introuvable")</f>
        <v>20</v>
      </c>
      <c r="E70" s="4">
        <f>IFERROR(IFERROR(SUMIFS('Base de données'!$G:$G, 'Base de données'!A:A, BD_etu_notes_S2_C3!C70, 'Base de données'!$C:$C, BD_etu_notes_S2_C3!A70), 0) / IFERROR(SUMIFS('Base de données'!$E:$E, 'Base de données'!A:A, BD_etu_notes_S2_C3!C70, 'Base de données'!$C:$C, BD_etu_notes_S2_C3!A70), 0),0)</f>
        <v>16.5</v>
      </c>
    </row>
    <row r="71" spans="1:5" x14ac:dyDescent="0.2">
      <c r="A71" s="4" t="str">
        <f>_xlfn.XLOOKUP(B71,'Semestre 2'!$D$3:$D$29,'Semestre 2'!$B$3:$B$29,"introuvable")</f>
        <v>SAÉ - Analyse de données, reporting et datavisualisation</v>
      </c>
      <c r="B71" s="4" t="s">
        <v>134</v>
      </c>
      <c r="C71" s="2" t="s">
        <v>24</v>
      </c>
      <c r="D71" s="4">
        <f>_xlfn.XLOOKUP(B71,'Semestre 2'!$D$3:$D$29,'Semestre 2'!$C$3:$C$29,"introuvable")</f>
        <v>20</v>
      </c>
      <c r="E71" s="4">
        <f>IFERROR(IFERROR(SUMIFS('Base de données'!$G:$G, 'Base de données'!A:A, BD_etu_notes_S2_C3!C71, 'Base de données'!$C:$C, BD_etu_notes_S2_C3!A71), 0) / IFERROR(SUMIFS('Base de données'!$E:$E, 'Base de données'!A:A, BD_etu_notes_S2_C3!C71, 'Base de données'!$C:$C, BD_etu_notes_S2_C3!A71), 0),0)</f>
        <v>16</v>
      </c>
    </row>
    <row r="72" spans="1:5" x14ac:dyDescent="0.2">
      <c r="A72" s="4" t="str">
        <f>_xlfn.XLOOKUP(B72,'Semestre 2'!$D$3:$D$29,'Semestre 2'!$B$3:$B$29,"introuvable")</f>
        <v>SAÉ - Analyse de données, reporting et datavisualisation</v>
      </c>
      <c r="B72" s="4" t="s">
        <v>134</v>
      </c>
      <c r="C72" s="2" t="s">
        <v>26</v>
      </c>
      <c r="D72" s="4">
        <f>_xlfn.XLOOKUP(B72,'Semestre 2'!$D$3:$D$29,'Semestre 2'!$C$3:$C$29,"introuvable")</f>
        <v>20</v>
      </c>
      <c r="E72" s="4">
        <f>IFERROR(IFERROR(SUMIFS('Base de données'!$G:$G, 'Base de données'!A:A, BD_etu_notes_S2_C3!C72, 'Base de données'!$C:$C, BD_etu_notes_S2_C3!A72), 0) / IFERROR(SUMIFS('Base de données'!$E:$E, 'Base de données'!A:A, BD_etu_notes_S2_C3!C72, 'Base de données'!$C:$C, BD_etu_notes_S2_C3!A72), 0),0)</f>
        <v>17.5</v>
      </c>
    </row>
    <row r="73" spans="1:5" x14ac:dyDescent="0.2">
      <c r="A73" s="4" t="str">
        <f>_xlfn.XLOOKUP(B73,'Semestre 2'!$D$3:$D$29,'Semestre 2'!$B$3:$B$29,"introuvable")</f>
        <v>SAÉ - Analyse de données, reporting et datavisualisation</v>
      </c>
      <c r="B73" s="4" t="s">
        <v>134</v>
      </c>
      <c r="C73" s="2" t="s">
        <v>29</v>
      </c>
      <c r="D73" s="4">
        <f>_xlfn.XLOOKUP(B73,'Semestre 2'!$D$3:$D$29,'Semestre 2'!$C$3:$C$29,"introuvable")</f>
        <v>20</v>
      </c>
      <c r="E73" s="4">
        <f>IFERROR(IFERROR(SUMIFS('Base de données'!$G:$G, 'Base de données'!A:A, BD_etu_notes_S2_C3!C73, 'Base de données'!$C:$C, BD_etu_notes_S2_C3!A73), 0) / IFERROR(SUMIFS('Base de données'!$E:$E, 'Base de données'!A:A, BD_etu_notes_S2_C3!C73, 'Base de données'!$C:$C, BD_etu_notes_S2_C3!A73), 0),0)</f>
        <v>17</v>
      </c>
    </row>
    <row r="74" spans="1:5" x14ac:dyDescent="0.2">
      <c r="A74" s="4" t="str">
        <f>_xlfn.XLOOKUP(B74,'Semestre 2'!$D$3:$D$29,'Semestre 2'!$B$3:$B$29,"introuvable")</f>
        <v>SAÉ - Portfolio</v>
      </c>
      <c r="B74" s="4" t="s">
        <v>135</v>
      </c>
      <c r="C74" s="2" t="s">
        <v>5</v>
      </c>
      <c r="D74" s="4">
        <f>_xlfn.XLOOKUP(B74,'Semestre 2'!$D$3:$D$29,'Semestre 2'!$C$3:$C$29,"introuvable")</f>
        <v>5</v>
      </c>
      <c r="E74" s="4">
        <f>IFERROR(IFERROR(SUMIFS('Base de données'!$G:$G, 'Base de données'!A:A, BD_etu_notes_S2_C3!C74, 'Base de données'!$C:$C, BD_etu_notes_S2_C3!A74), 0) / IFERROR(SUMIFS('Base de données'!$E:$E, 'Base de données'!A:A, BD_etu_notes_S2_C3!C74, 'Base de données'!$C:$C, BD_etu_notes_S2_C3!A74), 0),0)</f>
        <v>13.5</v>
      </c>
    </row>
    <row r="75" spans="1:5" x14ac:dyDescent="0.2">
      <c r="A75" s="4" t="str">
        <f>_xlfn.XLOOKUP(B75,'Semestre 2'!$D$3:$D$29,'Semestre 2'!$B$3:$B$29,"introuvable")</f>
        <v>SAÉ - Portfolio</v>
      </c>
      <c r="B75" s="4" t="s">
        <v>135</v>
      </c>
      <c r="C75" s="2" t="s">
        <v>9</v>
      </c>
      <c r="D75" s="4">
        <f>_xlfn.XLOOKUP(B75,'Semestre 2'!$D$3:$D$29,'Semestre 2'!$C$3:$C$29,"introuvable")</f>
        <v>5</v>
      </c>
      <c r="E75" s="4">
        <f>IFERROR(IFERROR(SUMIFS('Base de données'!$G:$G, 'Base de données'!A:A, BD_etu_notes_S2_C3!C75, 'Base de données'!$C:$C, BD_etu_notes_S2_C3!A75), 0) / IFERROR(SUMIFS('Base de données'!$E:$E, 'Base de données'!A:A, BD_etu_notes_S2_C3!C75, 'Base de données'!$C:$C, BD_etu_notes_S2_C3!A75), 0),0)</f>
        <v>11</v>
      </c>
    </row>
    <row r="76" spans="1:5" x14ac:dyDescent="0.2">
      <c r="A76" s="4" t="str">
        <f>_xlfn.XLOOKUP(B76,'Semestre 2'!$D$3:$D$29,'Semestre 2'!$B$3:$B$29,"introuvable")</f>
        <v>SAÉ - Portfolio</v>
      </c>
      <c r="B76" s="4" t="s">
        <v>135</v>
      </c>
      <c r="C76" s="2" t="s">
        <v>11</v>
      </c>
      <c r="D76" s="4">
        <f>_xlfn.XLOOKUP(B76,'Semestre 2'!$D$3:$D$29,'Semestre 2'!$C$3:$C$29,"introuvable")</f>
        <v>5</v>
      </c>
      <c r="E76" s="4">
        <f>IFERROR(IFERROR(SUMIFS('Base de données'!$G:$G, 'Base de données'!A:A, BD_etu_notes_S2_C3!C76, 'Base de données'!$C:$C, BD_etu_notes_S2_C3!A76), 0) / IFERROR(SUMIFS('Base de données'!$E:$E, 'Base de données'!A:A, BD_etu_notes_S2_C3!C76, 'Base de données'!$C:$C, BD_etu_notes_S2_C3!A76), 0),0)</f>
        <v>12.5</v>
      </c>
    </row>
    <row r="77" spans="1:5" x14ac:dyDescent="0.2">
      <c r="A77" s="4" t="str">
        <f>_xlfn.XLOOKUP(B77,'Semestre 2'!$D$3:$D$29,'Semestre 2'!$B$3:$B$29,"introuvable")</f>
        <v>SAÉ - Portfolio</v>
      </c>
      <c r="B77" s="4" t="s">
        <v>135</v>
      </c>
      <c r="C77" s="2" t="s">
        <v>14</v>
      </c>
      <c r="D77" s="4">
        <f>_xlfn.XLOOKUP(B77,'Semestre 2'!$D$3:$D$29,'Semestre 2'!$C$3:$C$29,"introuvable")</f>
        <v>5</v>
      </c>
      <c r="E77" s="4">
        <f>IFERROR(IFERROR(SUMIFS('Base de données'!$G:$G, 'Base de données'!A:A, BD_etu_notes_S2_C3!C77, 'Base de données'!$C:$C, BD_etu_notes_S2_C3!A77), 0) / IFERROR(SUMIFS('Base de données'!$E:$E, 'Base de données'!A:A, BD_etu_notes_S2_C3!C77, 'Base de données'!$C:$C, BD_etu_notes_S2_C3!A77), 0),0)</f>
        <v>16</v>
      </c>
    </row>
    <row r="78" spans="1:5" x14ac:dyDescent="0.2">
      <c r="A78" s="4" t="str">
        <f>_xlfn.XLOOKUP(B78,'Semestre 2'!$D$3:$D$29,'Semestre 2'!$B$3:$B$29,"introuvable")</f>
        <v>SAÉ - Portfolio</v>
      </c>
      <c r="B78" s="4" t="s">
        <v>135</v>
      </c>
      <c r="C78" s="2" t="s">
        <v>16</v>
      </c>
      <c r="D78" s="4">
        <f>_xlfn.XLOOKUP(B78,'Semestre 2'!$D$3:$D$29,'Semestre 2'!$C$3:$C$29,"introuvable")</f>
        <v>5</v>
      </c>
      <c r="E78" s="4">
        <f>IFERROR(IFERROR(SUMIFS('Base de données'!$G:$G, 'Base de données'!A:A, BD_etu_notes_S2_C3!C78, 'Base de données'!$C:$C, BD_etu_notes_S2_C3!A78), 0) / IFERROR(SUMIFS('Base de données'!$E:$E, 'Base de données'!A:A, BD_etu_notes_S2_C3!C78, 'Base de données'!$C:$C, BD_etu_notes_S2_C3!A78), 0),0)</f>
        <v>13</v>
      </c>
    </row>
    <row r="79" spans="1:5" x14ac:dyDescent="0.2">
      <c r="A79" s="4" t="str">
        <f>_xlfn.XLOOKUP(B79,'Semestre 2'!$D$3:$D$29,'Semestre 2'!$B$3:$B$29,"introuvable")</f>
        <v>SAÉ - Portfolio</v>
      </c>
      <c r="B79" s="4" t="s">
        <v>135</v>
      </c>
      <c r="C79" s="2" t="s">
        <v>19</v>
      </c>
      <c r="D79" s="4">
        <f>_xlfn.XLOOKUP(B79,'Semestre 2'!$D$3:$D$29,'Semestre 2'!$C$3:$C$29,"introuvable")</f>
        <v>5</v>
      </c>
      <c r="E79" s="4">
        <f>IFERROR(IFERROR(SUMIFS('Base de données'!$G:$G, 'Base de données'!A:A, BD_etu_notes_S2_C3!C79, 'Base de données'!$C:$C, BD_etu_notes_S2_C3!A79), 0) / IFERROR(SUMIFS('Base de données'!$E:$E, 'Base de données'!A:A, BD_etu_notes_S2_C3!C79, 'Base de données'!$C:$C, BD_etu_notes_S2_C3!A79), 0),0)</f>
        <v>16.5</v>
      </c>
    </row>
    <row r="80" spans="1:5" x14ac:dyDescent="0.2">
      <c r="A80" s="4" t="str">
        <f>_xlfn.XLOOKUP(B80,'Semestre 2'!$D$3:$D$29,'Semestre 2'!$B$3:$B$29,"introuvable")</f>
        <v>SAÉ - Portfolio</v>
      </c>
      <c r="B80" s="4" t="s">
        <v>135</v>
      </c>
      <c r="C80" s="2" t="s">
        <v>21</v>
      </c>
      <c r="D80" s="4">
        <f>_xlfn.XLOOKUP(B80,'Semestre 2'!$D$3:$D$29,'Semestre 2'!$C$3:$C$29,"introuvable")</f>
        <v>5</v>
      </c>
      <c r="E80" s="4">
        <f>IFERROR(IFERROR(SUMIFS('Base de données'!$G:$G, 'Base de données'!A:A, BD_etu_notes_S2_C3!C80, 'Base de données'!$C:$C, BD_etu_notes_S2_C3!A80), 0) / IFERROR(SUMIFS('Base de données'!$E:$E, 'Base de données'!A:A, BD_etu_notes_S2_C3!C80, 'Base de données'!$C:$C, BD_etu_notes_S2_C3!A80), 0),0)</f>
        <v>13</v>
      </c>
    </row>
    <row r="81" spans="1:5" x14ac:dyDescent="0.2">
      <c r="A81" s="4" t="str">
        <f>_xlfn.XLOOKUP(B81,'Semestre 2'!$D$3:$D$29,'Semestre 2'!$B$3:$B$29,"introuvable")</f>
        <v>SAÉ - Portfolio</v>
      </c>
      <c r="B81" s="4" t="s">
        <v>135</v>
      </c>
      <c r="C81" s="2" t="s">
        <v>24</v>
      </c>
      <c r="D81" s="4">
        <f>_xlfn.XLOOKUP(B81,'Semestre 2'!$D$3:$D$29,'Semestre 2'!$C$3:$C$29,"introuvable")</f>
        <v>5</v>
      </c>
      <c r="E81" s="4">
        <f>IFERROR(IFERROR(SUMIFS('Base de données'!$G:$G, 'Base de données'!A:A, BD_etu_notes_S2_C3!C81, 'Base de données'!$C:$C, BD_etu_notes_S2_C3!A81), 0) / IFERROR(SUMIFS('Base de données'!$E:$E, 'Base de données'!A:A, BD_etu_notes_S2_C3!C81, 'Base de données'!$C:$C, BD_etu_notes_S2_C3!A81), 0),0)</f>
        <v>15.5</v>
      </c>
    </row>
    <row r="82" spans="1:5" x14ac:dyDescent="0.2">
      <c r="A82" s="4" t="str">
        <f>_xlfn.XLOOKUP(B82,'Semestre 2'!$D$3:$D$29,'Semestre 2'!$B$3:$B$29,"introuvable")</f>
        <v>SAÉ - Portfolio</v>
      </c>
      <c r="B82" s="4" t="s">
        <v>135</v>
      </c>
      <c r="C82" s="2" t="s">
        <v>26</v>
      </c>
      <c r="D82" s="4">
        <f>_xlfn.XLOOKUP(B82,'Semestre 2'!$D$3:$D$29,'Semestre 2'!$C$3:$C$29,"introuvable")</f>
        <v>5</v>
      </c>
      <c r="E82" s="4">
        <f>IFERROR(IFERROR(SUMIFS('Base de données'!$G:$G, 'Base de données'!A:A, BD_etu_notes_S2_C3!C82, 'Base de données'!$C:$C, BD_etu_notes_S2_C3!A82), 0) / IFERROR(SUMIFS('Base de données'!$E:$E, 'Base de données'!A:A, BD_etu_notes_S2_C3!C82, 'Base de données'!$C:$C, BD_etu_notes_S2_C3!A82), 0),0)</f>
        <v>12.5</v>
      </c>
    </row>
    <row r="83" spans="1:5" x14ac:dyDescent="0.2">
      <c r="A83" s="4" t="str">
        <f>_xlfn.XLOOKUP(B83,'Semestre 2'!$D$3:$D$29,'Semestre 2'!$B$3:$B$29,"introuvable")</f>
        <v>SAÉ - Portfolio</v>
      </c>
      <c r="B83" s="4" t="s">
        <v>135</v>
      </c>
      <c r="C83" s="2" t="s">
        <v>29</v>
      </c>
      <c r="D83" s="4">
        <f>_xlfn.XLOOKUP(B83,'Semestre 2'!$D$3:$D$29,'Semestre 2'!$C$3:$C$29,"introuvable")</f>
        <v>5</v>
      </c>
      <c r="E83" s="4">
        <f>IFERROR(IFERROR(SUMIFS('Base de données'!$G:$G, 'Base de données'!A:A, BD_etu_notes_S2_C3!C83, 'Base de données'!$C:$C, BD_etu_notes_S2_C3!A83), 0) / IFERROR(SUMIFS('Base de données'!$E:$E, 'Base de données'!A:A, BD_etu_notes_S2_C3!C83, 'Base de données'!$C:$C, BD_etu_notes_S2_C3!A83), 0),0)</f>
        <v>16</v>
      </c>
    </row>
    <row r="84" spans="1:5" x14ac:dyDescent="0.2">
      <c r="A84" s="4" t="s">
        <v>124</v>
      </c>
      <c r="B84" s="4" t="s">
        <v>125</v>
      </c>
      <c r="C84" s="4" t="s">
        <v>34</v>
      </c>
      <c r="D84" s="4">
        <v>15</v>
      </c>
      <c r="E84" s="4">
        <f>IFERROR(IFERROR(SUMIFS('Base de données'!$G:$G, 'Base de données'!A:A, BD_etu_notes_S2_C3!C84, 'Base de données'!$C:$C, BD_etu_notes_S2_C3!A84), 0) / IFERROR(SUMIFS('Base de données'!$E:$E, 'Base de données'!A:A, BD_etu_notes_S2_C3!C84, 'Base de données'!$C:$C, BD_etu_notes_S2_C3!A84), 0),0)</f>
        <v>0</v>
      </c>
    </row>
    <row r="85" spans="1:5" x14ac:dyDescent="0.2">
      <c r="A85" s="4" t="s">
        <v>127</v>
      </c>
      <c r="B85" s="4" t="s">
        <v>128</v>
      </c>
      <c r="C85" s="4" t="s">
        <v>34</v>
      </c>
      <c r="D85" s="4">
        <v>15</v>
      </c>
      <c r="E85" s="4">
        <f>IFERROR(IFERROR(SUMIFS('Base de données'!$G:$G, 'Base de données'!A:A, BD_etu_notes_S2_C3!C85, 'Base de données'!$C:$C, BD_etu_notes_S2_C3!A85), 0) / IFERROR(SUMIFS('Base de données'!$E:$E, 'Base de données'!A:A, BD_etu_notes_S2_C3!C85, 'Base de données'!$C:$C, BD_etu_notes_S2_C3!A85), 0),0)</f>
        <v>0</v>
      </c>
    </row>
    <row r="86" spans="1:5" x14ac:dyDescent="0.2">
      <c r="A86" s="4" t="s">
        <v>129</v>
      </c>
      <c r="B86" s="4" t="s">
        <v>130</v>
      </c>
      <c r="C86" s="4" t="s">
        <v>34</v>
      </c>
      <c r="D86" s="4">
        <v>25</v>
      </c>
      <c r="E86" s="4">
        <f>IFERROR(IFERROR(SUMIFS('Base de données'!$G:$G, 'Base de données'!A:A, BD_etu_notes_S2_C3!C86, 'Base de données'!$C:$C, BD_etu_notes_S2_C3!A86), 0) / IFERROR(SUMIFS('Base de données'!$E:$E, 'Base de données'!A:A, BD_etu_notes_S2_C3!C86, 'Base de données'!$C:$C, BD_etu_notes_S2_C3!A86), 0),0)</f>
        <v>0</v>
      </c>
    </row>
    <row r="87" spans="1:5" x14ac:dyDescent="0.2">
      <c r="A87" s="4" t="s">
        <v>52</v>
      </c>
      <c r="B87" s="4" t="s">
        <v>71</v>
      </c>
      <c r="C87" s="4" t="s">
        <v>34</v>
      </c>
      <c r="D87" s="4">
        <v>5</v>
      </c>
      <c r="E87" s="4">
        <f>IFERROR(IFERROR(SUMIFS('Base de données'!$G:$G, 'Base de données'!A:A, BD_etu_notes_S2_C3!C87, 'Base de données'!$C:$C, BD_etu_notes_S2_C3!A87), 0) / IFERROR(SUMIFS('Base de données'!$E:$E, 'Base de données'!A:A, BD_etu_notes_S2_C3!C87, 'Base de données'!$C:$C, BD_etu_notes_S2_C3!A87), 0),0)</f>
        <v>0</v>
      </c>
    </row>
    <row r="88" spans="1:5" x14ac:dyDescent="0.2">
      <c r="A88" s="4" t="s">
        <v>57</v>
      </c>
      <c r="B88" s="4" t="s">
        <v>131</v>
      </c>
      <c r="C88" s="4" t="s">
        <v>34</v>
      </c>
      <c r="D88" s="4">
        <v>5</v>
      </c>
      <c r="E88" s="4">
        <f>IFERROR(IFERROR(SUMIFS('Base de données'!$G:$G, 'Base de données'!A:A, BD_etu_notes_S2_C3!C88, 'Base de données'!$C:$C, BD_etu_notes_S2_C3!A88), 0) / IFERROR(SUMIFS('Base de données'!$E:$E, 'Base de données'!A:A, BD_etu_notes_S2_C3!C88, 'Base de données'!$C:$C, BD_etu_notes_S2_C3!A88), 0),0)</f>
        <v>0</v>
      </c>
    </row>
    <row r="89" spans="1:5" x14ac:dyDescent="0.2">
      <c r="A89" s="4" t="s">
        <v>132</v>
      </c>
      <c r="B89" s="4" t="s">
        <v>133</v>
      </c>
      <c r="C89" s="4" t="s">
        <v>34</v>
      </c>
      <c r="D89" s="4">
        <v>10</v>
      </c>
      <c r="E89" s="4">
        <f>IFERROR(IFERROR(SUMIFS('Base de données'!$G:$G, 'Base de données'!A:A, BD_etu_notes_S2_C3!C89, 'Base de données'!$C:$C, BD_etu_notes_S2_C3!A89), 0) / IFERROR(SUMIFS('Base de données'!$E:$E, 'Base de données'!A:A, BD_etu_notes_S2_C3!C89, 'Base de données'!$C:$C, BD_etu_notes_S2_C3!A89), 0),0)</f>
        <v>0</v>
      </c>
    </row>
    <row r="90" spans="1:5" x14ac:dyDescent="0.2">
      <c r="A90" s="4" t="s">
        <v>55</v>
      </c>
      <c r="B90" s="4" t="s">
        <v>134</v>
      </c>
      <c r="C90" s="4" t="s">
        <v>34</v>
      </c>
      <c r="D90" s="4">
        <v>20</v>
      </c>
      <c r="E90" s="4">
        <f>IFERROR(IFERROR(SUMIFS('Base de données'!$G:$G, 'Base de données'!A:A, BD_etu_notes_S2_C3!C90, 'Base de données'!$C:$C, BD_etu_notes_S2_C3!A90), 0) / IFERROR(SUMIFS('Base de données'!$E:$E, 'Base de données'!A:A, BD_etu_notes_S2_C3!C90, 'Base de données'!$C:$C, BD_etu_notes_S2_C3!A90), 0),0)</f>
        <v>0</v>
      </c>
    </row>
    <row r="91" spans="1:5" x14ac:dyDescent="0.2">
      <c r="A91" s="4" t="s">
        <v>58</v>
      </c>
      <c r="B91" s="4" t="s">
        <v>135</v>
      </c>
      <c r="C91" s="4" t="s">
        <v>34</v>
      </c>
      <c r="D91" s="4">
        <v>5</v>
      </c>
      <c r="E91" s="4">
        <f>IFERROR(IFERROR(SUMIFS('Base de données'!$G:$G, 'Base de données'!A:A, BD_etu_notes_S2_C3!C91, 'Base de données'!$C:$C, BD_etu_notes_S2_C3!A91), 0) / IFERROR(SUMIFS('Base de données'!$E:$E, 'Base de données'!A:A, BD_etu_notes_S2_C3!C91, 'Base de données'!$C:$C, BD_etu_notes_S2_C3!A91), 0),0)</f>
        <v>0</v>
      </c>
    </row>
    <row r="97" spans="11:11" x14ac:dyDescent="0.2">
      <c r="K97" s="4"/>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44D61-9C77-4DC6-A5BA-2F668CFCAD96}">
  <sheetPr codeName="Feuil8"/>
  <dimension ref="A1"/>
  <sheetViews>
    <sheetView zoomScale="85" zoomScaleNormal="85" workbookViewId="0"/>
  </sheetViews>
  <sheetFormatPr baseColWidth="10" defaultColWidth="11.5" defaultRowHeight="15" x14ac:dyDescent="0.2"/>
  <cols>
    <col min="1" max="16384" width="11.5" style="169"/>
  </cols>
  <sheetData/>
  <mergeCells count="1">
    <mergeCell ref="A1:XFD1048576"/>
  </mergeCell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9F7F-673C-4BEC-9BA9-4F05019B830C}">
  <sheetPr codeName="Feuil13"/>
  <dimension ref="A1"/>
  <sheetViews>
    <sheetView zoomScale="91" workbookViewId="0">
      <selection sqref="A1:XFD1048576"/>
    </sheetView>
  </sheetViews>
  <sheetFormatPr baseColWidth="10" defaultColWidth="11.5" defaultRowHeight="15" x14ac:dyDescent="0.2"/>
  <cols>
    <col min="1" max="16384" width="11.5" style="170"/>
  </cols>
  <sheetData/>
  <mergeCells count="1">
    <mergeCell ref="A1:XFD1048576"/>
  </mergeCells>
  <pageMargins left="0.7" right="0.7" top="0.75" bottom="0.75" header="0.3" footer="0.3"/>
  <pageSetup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E709D1CC207074191644AE104E0009F" ma:contentTypeVersion="11" ma:contentTypeDescription="Crée un document." ma:contentTypeScope="" ma:versionID="92d705e56f130c20e273eb988d665371">
  <xsd:schema xmlns:xsd="http://www.w3.org/2001/XMLSchema" xmlns:xs="http://www.w3.org/2001/XMLSchema" xmlns:p="http://schemas.microsoft.com/office/2006/metadata/properties" xmlns:ns3="e9f60035-bfe2-4b0a-98b4-dc4d9da4839c" targetNamespace="http://schemas.microsoft.com/office/2006/metadata/properties" ma:root="true" ma:fieldsID="186446044d91b60f0e30cdc4f57ca700" ns3:_="">
    <xsd:import namespace="e9f60035-bfe2-4b0a-98b4-dc4d9da4839c"/>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element ref="ns3:MediaServiceSystem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f60035-bfe2-4b0a-98b4-dc4d9da4839c"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Location" ma:index="18"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e9f60035-bfe2-4b0a-98b4-dc4d9da4839c"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2C62EF9-F860-414C-B432-5716A2E577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f60035-bfe2-4b0a-98b4-dc4d9da4839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09126A7-DBD4-42B9-B62F-33F40FBC07E3}">
  <ds:schemaRefs>
    <ds:schemaRef ds:uri="http://www.w3.org/XML/1998/namespace"/>
    <ds:schemaRef ds:uri="http://schemas.microsoft.com/office/2006/documentManagement/types"/>
    <ds:schemaRef ds:uri="http://schemas.openxmlformats.org/package/2006/metadata/core-properties"/>
    <ds:schemaRef ds:uri="http://schemas.microsoft.com/office/infopath/2007/PartnerControls"/>
    <ds:schemaRef ds:uri="http://purl.org/dc/dcmitype/"/>
    <ds:schemaRef ds:uri="http://purl.org/dc/terms/"/>
    <ds:schemaRef ds:uri="http://purl.org/dc/elements/1.1/"/>
    <ds:schemaRef ds:uri="e9f60035-bfe2-4b0a-98b4-dc4d9da4839c"/>
    <ds:schemaRef ds:uri="http://schemas.microsoft.com/office/2006/metadata/properties"/>
  </ds:schemaRefs>
</ds:datastoreItem>
</file>

<file path=customXml/itemProps3.xml><?xml version="1.0" encoding="utf-8"?>
<ds:datastoreItem xmlns:ds="http://schemas.openxmlformats.org/officeDocument/2006/customXml" ds:itemID="{2AB22F25-6414-476F-BF0F-A41A7BCBCB0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etudiant</vt:lpstr>
      <vt:lpstr>Base de données</vt:lpstr>
      <vt:lpstr>Semestre 1</vt:lpstr>
      <vt:lpstr>Semestre 2</vt:lpstr>
      <vt:lpstr>rech_etu_infos</vt:lpstr>
      <vt:lpstr>BD_etu_notes_S1_C1</vt:lpstr>
      <vt:lpstr>BD_etu_notes_S1_C2</vt:lpstr>
      <vt:lpstr>BD_etu_notes_S1_C3</vt:lpstr>
      <vt:lpstr>BD_etu_notes_S2_C1</vt:lpstr>
      <vt:lpstr>BD_etu_notes_S2_C2</vt:lpstr>
      <vt:lpstr>BD_etu_notes_S2_C3</vt:lpstr>
      <vt:lpstr>menu_eleve</vt:lpstr>
      <vt:lpstr>menu_demarage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CHIROL QUENTIN</dc:creator>
  <cp:keywords/>
  <dc:description/>
  <cp:lastModifiedBy>imane kharbouche</cp:lastModifiedBy>
  <cp:revision/>
  <dcterms:created xsi:type="dcterms:W3CDTF">2015-06-05T18:19:34Z</dcterms:created>
  <dcterms:modified xsi:type="dcterms:W3CDTF">2025-03-16T17:42:59Z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0x010100AE709D1CC207074191644AE104E0009F</vt:lpwstr>
  </property>
</Properties>
</file>