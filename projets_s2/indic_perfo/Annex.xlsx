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uunivpoitiersfr-my.sharepoint.com/personal/imane_kharbouche_etu_univ-poitiers_fr/Documents/BUT1/S2/SAE/INDICATEUR_PERFO/"/>
    </mc:Choice>
  </mc:AlternateContent>
  <xr:revisionPtr revIDLastSave="13" documentId="8_{B6C169CE-4EEE-4877-841B-A684201A25BC}" xr6:coauthVersionLast="47" xr6:coauthVersionMax="47" xr10:uidLastSave="{30F59327-3B16-4A05-9E8D-EA410BCDDA48}"/>
  <bookViews>
    <workbookView xWindow="-120" yWindow="-120" windowWidth="29040" windowHeight="15720" xr2:uid="{92C13630-309F-4764-A3D6-A0DB633E15C2}"/>
  </bookViews>
  <sheets>
    <sheet name="Annexe 3 Calculs Indic de SIG" sheetId="1" r:id="rId1"/>
    <sheet name="Annexe 4 Synthése Indic Ratio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2" l="1"/>
  <c r="E32" i="2"/>
  <c r="D32" i="2"/>
  <c r="E27" i="2"/>
  <c r="F26" i="2"/>
  <c r="E26" i="2"/>
  <c r="D26" i="2"/>
  <c r="C26" i="2"/>
  <c r="F21" i="2"/>
  <c r="E21" i="2"/>
  <c r="D21" i="2"/>
  <c r="F20" i="2"/>
  <c r="E20" i="2"/>
  <c r="D20" i="2"/>
  <c r="C20" i="2"/>
  <c r="E18" i="2"/>
  <c r="F13" i="2"/>
  <c r="F34" i="2" s="1"/>
  <c r="E13" i="2"/>
  <c r="E34" i="2" s="1"/>
  <c r="D13" i="2"/>
  <c r="D34" i="2" s="1"/>
  <c r="C13" i="2"/>
  <c r="C34" i="2" s="1"/>
  <c r="F12" i="2"/>
  <c r="E12" i="2"/>
  <c r="D12" i="2"/>
  <c r="C12" i="2"/>
  <c r="F11" i="2"/>
  <c r="F19" i="2" s="1"/>
  <c r="E11" i="2"/>
  <c r="E19" i="2" s="1"/>
  <c r="D11" i="2"/>
  <c r="D19" i="2" s="1"/>
  <c r="C11" i="2"/>
  <c r="F10" i="2"/>
  <c r="F33" i="2" s="1"/>
  <c r="E10" i="2"/>
  <c r="E33" i="2" s="1"/>
  <c r="D10" i="2"/>
  <c r="D28" i="2" s="1"/>
  <c r="C10" i="2"/>
  <c r="C33" i="2" s="1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C19" i="2" s="1"/>
  <c r="F33" i="1"/>
  <c r="E33" i="1"/>
  <c r="D33" i="1"/>
  <c r="C33" i="1"/>
  <c r="F32" i="1"/>
  <c r="E32" i="1"/>
  <c r="D32" i="1"/>
  <c r="C32" i="1"/>
  <c r="F31" i="1"/>
  <c r="E31" i="1"/>
  <c r="D31" i="1"/>
  <c r="C31" i="1"/>
  <c r="C34" i="1" s="1"/>
  <c r="F30" i="1"/>
  <c r="F34" i="1" s="1"/>
  <c r="E30" i="1"/>
  <c r="E34" i="1" s="1"/>
  <c r="I34" i="1" s="1"/>
  <c r="D30" i="1"/>
  <c r="D34" i="1" s="1"/>
  <c r="C30" i="1"/>
  <c r="C25" i="1"/>
  <c r="F24" i="1"/>
  <c r="E24" i="1"/>
  <c r="D24" i="1"/>
  <c r="D25" i="1" s="1"/>
  <c r="H25" i="1" s="1"/>
  <c r="C24" i="1"/>
  <c r="F23" i="1"/>
  <c r="F25" i="1" s="1"/>
  <c r="E23" i="1"/>
  <c r="E25" i="1" s="1"/>
  <c r="I25" i="1" s="1"/>
  <c r="D23" i="1"/>
  <c r="C23" i="1"/>
  <c r="F19" i="1"/>
  <c r="E19" i="1"/>
  <c r="D19" i="1"/>
  <c r="C19" i="1"/>
  <c r="D16" i="1"/>
  <c r="D20" i="1" s="1"/>
  <c r="C16" i="1"/>
  <c r="C20" i="1" s="1"/>
  <c r="H13" i="1"/>
  <c r="F13" i="1"/>
  <c r="F16" i="1" s="1"/>
  <c r="F20" i="1" s="1"/>
  <c r="E13" i="1"/>
  <c r="E16" i="1" s="1"/>
  <c r="E20" i="1" s="1"/>
  <c r="I20" i="1" s="1"/>
  <c r="D13" i="1"/>
  <c r="C13" i="1"/>
  <c r="K5" i="1"/>
  <c r="J5" i="1"/>
  <c r="I5" i="1"/>
  <c r="H5" i="1"/>
  <c r="C18" i="2" l="1"/>
  <c r="C21" i="2"/>
  <c r="C27" i="2"/>
  <c r="C32" i="2"/>
  <c r="F18" i="2"/>
  <c r="F27" i="2"/>
  <c r="C22" i="2"/>
  <c r="C28" i="2"/>
  <c r="D18" i="2"/>
  <c r="D33" i="2"/>
  <c r="E22" i="2"/>
  <c r="E28" i="2"/>
  <c r="D27" i="2"/>
  <c r="D22" i="2"/>
  <c r="F22" i="2"/>
  <c r="F28" i="2"/>
  <c r="J34" i="1"/>
  <c r="K34" i="1"/>
  <c r="J25" i="1"/>
  <c r="K25" i="1"/>
  <c r="K20" i="1"/>
  <c r="J20" i="1"/>
  <c r="H20" i="1"/>
  <c r="H34" i="1"/>
  <c r="I13" i="1"/>
  <c r="J13" i="1"/>
  <c r="K13" i="1"/>
</calcChain>
</file>

<file path=xl/sharedStrings.xml><?xml version="1.0" encoding="utf-8"?>
<sst xmlns="http://schemas.openxmlformats.org/spreadsheetml/2006/main" count="58" uniqueCount="57">
  <si>
    <t>FM-LS : Calcul des Soldes Intermédiaires de Gestion</t>
  </si>
  <si>
    <t>Taux de var 20/19 (%)</t>
  </si>
  <si>
    <t>Taux de var 21/20 (%)</t>
  </si>
  <si>
    <t>Taux de var 22/20 (%)</t>
  </si>
  <si>
    <t>Taux de var 22/19 (%)</t>
  </si>
  <si>
    <t>CA</t>
  </si>
  <si>
    <t>+ Prod stockée </t>
  </si>
  <si>
    <t>+ Prod immob</t>
  </si>
  <si>
    <t>- Achats de march</t>
  </si>
  <si>
    <t>- Var Stock march </t>
  </si>
  <si>
    <t>- Achats Mat Prem</t>
  </si>
  <si>
    <t>- Var Stock Mat Prem </t>
  </si>
  <si>
    <t>- Autres achats et charges externes </t>
  </si>
  <si>
    <t>Valeur Ajoutée</t>
  </si>
  <si>
    <t>VA</t>
  </si>
  <si>
    <t>+ Subventions d’exploitation</t>
  </si>
  <si>
    <t>- Impôts et taxes</t>
  </si>
  <si>
    <t>- Charges de personnel</t>
  </si>
  <si>
    <t>EBE</t>
  </si>
  <si>
    <t>Total des produits d’exploitation </t>
  </si>
  <si>
    <t>-Total des charges d’exploitation </t>
  </si>
  <si>
    <t>Résultat d'exploitation</t>
  </si>
  <si>
    <t>Calcul de la CAF</t>
  </si>
  <si>
    <t>Résultat de l’exercice</t>
  </si>
  <si>
    <t>+ DAP </t>
  </si>
  <si>
    <t>- RAP</t>
  </si>
  <si>
    <t>*</t>
  </si>
  <si>
    <r>
      <t>- (</t>
    </r>
    <r>
      <rPr>
        <sz val="10"/>
        <color theme="1"/>
        <rFont val="Aptos"/>
        <family val="2"/>
      </rPr>
      <t>Plus-value ou Moins-value sur cessions d’actifs</t>
    </r>
    <r>
      <rPr>
        <sz val="12"/>
        <color theme="1"/>
        <rFont val="Aptos"/>
        <family val="2"/>
      </rPr>
      <t>)</t>
    </r>
  </si>
  <si>
    <t>Capacité d'Auto-Financement</t>
  </si>
  <si>
    <t>*Compte 775 – Compte 675</t>
  </si>
  <si>
    <t>FM-LS : Tableaux de calculs des indicateurs et ratios</t>
  </si>
  <si>
    <t>Secteur 2022 (Industrie Alimentaire) - Source INSEE</t>
  </si>
  <si>
    <t>Indicateurs en €</t>
  </si>
  <si>
    <t xml:space="preserve"> </t>
  </si>
  <si>
    <t xml:space="preserve">CA </t>
  </si>
  <si>
    <t>Total CA = 198,1 mds d'€</t>
  </si>
  <si>
    <r>
      <t xml:space="preserve">    </t>
    </r>
    <r>
      <rPr>
        <i/>
        <sz val="11"/>
        <color theme="1"/>
        <rFont val="Calibri"/>
        <family val="2"/>
      </rPr>
      <t>Ventes de marchandises</t>
    </r>
  </si>
  <si>
    <t xml:space="preserve">    Production vendue de biens</t>
  </si>
  <si>
    <t xml:space="preserve">    Production vendue de services</t>
  </si>
  <si>
    <t xml:space="preserve">EBE </t>
  </si>
  <si>
    <t xml:space="preserve">Résultat d’exploitation </t>
  </si>
  <si>
    <t xml:space="preserve">Résultat de l’exercice </t>
  </si>
  <si>
    <t xml:space="preserve">CAF </t>
  </si>
  <si>
    <t>Profitabilité</t>
  </si>
  <si>
    <t>VA/CA</t>
  </si>
  <si>
    <t>EBE/CA</t>
  </si>
  <si>
    <t>Résultat d’exploitation/CA</t>
  </si>
  <si>
    <t>CAF/CA</t>
  </si>
  <si>
    <t>Résultat de l’exercice/CA</t>
  </si>
  <si>
    <t>Partage de la VA</t>
  </si>
  <si>
    <t>Charges de personnel/VA</t>
  </si>
  <si>
    <t>Intérêts/VA</t>
  </si>
  <si>
    <t>CAF/VA</t>
  </si>
  <si>
    <t>Indicateurs de productivité</t>
  </si>
  <si>
    <t>CA par salarié (en €)</t>
  </si>
  <si>
    <t>VA par salarié (en €)</t>
  </si>
  <si>
    <t>Résultat par salarié (en 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</si>
</sst>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Aptos"/>
      <family val="2"/>
    </font>
    <font>
      <b/>
      <sz val="12"/>
      <color theme="1"/>
      <name val="Aptos"/>
      <family val="2"/>
    </font>
    <font>
      <sz val="9"/>
      <color rgb="FF000000"/>
      <name val="Calibri"/>
      <family val="2"/>
      <scheme val="minor"/>
    </font>
    <font>
      <sz val="12"/>
      <color theme="1"/>
      <name val="Aptos"/>
      <family val="2"/>
    </font>
    <font>
      <b/>
      <sz val="8"/>
      <color theme="1"/>
      <name val="Aptos"/>
      <family val="2"/>
    </font>
    <font>
      <b/>
      <sz val="10"/>
      <name val="Arial"/>
      <family val="2"/>
    </font>
    <font>
      <sz val="10"/>
      <color theme="1"/>
      <name val="Aptos"/>
      <family val="2"/>
    </font>
    <font>
      <sz val="11"/>
      <color theme="1"/>
      <name val="Aptos"/>
      <family val="2"/>
    </font>
    <font>
      <b/>
      <sz val="12"/>
      <color theme="4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Aptos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164" fontId="0" fillId="2" borderId="1" xfId="1" applyNumberFormat="1" applyFont="1" applyFill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/>
    <xf numFmtId="0" fontId="4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5"/>
    </xf>
    <xf numFmtId="0" fontId="4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right"/>
    </xf>
    <xf numFmtId="1" fontId="4" fillId="3" borderId="1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6" fillId="0" borderId="0" xfId="0" applyFont="1"/>
    <xf numFmtId="1" fontId="17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 indent="1"/>
    </xf>
    <xf numFmtId="0" fontId="0" fillId="0" borderId="1" xfId="0" applyBorder="1"/>
    <xf numFmtId="3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center" wrapText="1"/>
    </xf>
    <xf numFmtId="10" fontId="13" fillId="0" borderId="1" xfId="0" applyNumberFormat="1" applyFont="1" applyBorder="1" applyAlignment="1">
      <alignment horizontal="center" vertical="center" wrapText="1"/>
    </xf>
    <xf numFmtId="9" fontId="13" fillId="0" borderId="1" xfId="1" applyFont="1" applyBorder="1" applyAlignment="1">
      <alignment horizontal="center" vertical="center" wrapText="1"/>
    </xf>
    <xf numFmtId="3" fontId="0" fillId="0" borderId="1" xfId="0" applyNumberFormat="1" applyBorder="1"/>
    <xf numFmtId="1" fontId="0" fillId="0" borderId="1" xfId="0" applyNumberForma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7CB4F9\Ressources%2520FM-LS,%2520Cptes%2520R&#233;sultat%2520FM-LS%25202019%25202023%2520et%2520Calculs%2520Indicateurs(R&#233;cup&#233;ration%20automatique)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e 1 Cptes résultat"/>
      <sheetName val="Annexe 2 Etude du CA"/>
      <sheetName val="Annexe 3 Calculs Indic de SIG"/>
      <sheetName val="Annexe 4 Synthèse Indic Ratios"/>
      <sheetName val="graph 1"/>
      <sheetName val="graph 2"/>
      <sheetName val="graph 3"/>
      <sheetName val="Graph 4"/>
      <sheetName val="Graph 5"/>
    </sheetNames>
    <sheetDataSet>
      <sheetData sheetId="0">
        <row r="4">
          <cell r="G4">
            <v>19369481</v>
          </cell>
          <cell r="H4">
            <v>19540281</v>
          </cell>
          <cell r="I4">
            <v>16894443</v>
          </cell>
          <cell r="J4">
            <v>14313611</v>
          </cell>
        </row>
        <row r="5">
          <cell r="G5">
            <v>657529251</v>
          </cell>
          <cell r="H5">
            <v>706751413</v>
          </cell>
          <cell r="I5">
            <v>662285200</v>
          </cell>
          <cell r="J5">
            <v>720127270</v>
          </cell>
        </row>
        <row r="6">
          <cell r="G6">
            <v>8146785</v>
          </cell>
          <cell r="H6">
            <v>8042046</v>
          </cell>
          <cell r="I6">
            <v>9135343</v>
          </cell>
          <cell r="J6">
            <v>9264552</v>
          </cell>
        </row>
        <row r="11">
          <cell r="G11">
            <v>6167111</v>
          </cell>
          <cell r="H11">
            <v>3133293</v>
          </cell>
          <cell r="I11">
            <v>3266397</v>
          </cell>
          <cell r="J11">
            <v>5214822</v>
          </cell>
        </row>
        <row r="13">
          <cell r="G13">
            <v>691601908</v>
          </cell>
          <cell r="H13">
            <v>737558082</v>
          </cell>
          <cell r="I13">
            <v>692488317</v>
          </cell>
          <cell r="J13">
            <v>752337869</v>
          </cell>
        </row>
        <row r="20">
          <cell r="G20">
            <v>83979017</v>
          </cell>
          <cell r="H20">
            <v>85012910</v>
          </cell>
          <cell r="I20">
            <v>81687612</v>
          </cell>
          <cell r="J20">
            <v>82568460</v>
          </cell>
        </row>
        <row r="21">
          <cell r="G21">
            <v>34898550</v>
          </cell>
          <cell r="H21">
            <v>35149605</v>
          </cell>
          <cell r="I21">
            <v>35016834</v>
          </cell>
          <cell r="J21">
            <v>33731995</v>
          </cell>
        </row>
        <row r="22">
          <cell r="G22">
            <v>17666930</v>
          </cell>
          <cell r="H22">
            <v>17850116</v>
          </cell>
          <cell r="I22">
            <v>16909406</v>
          </cell>
          <cell r="J22">
            <v>16428034</v>
          </cell>
        </row>
        <row r="24">
          <cell r="G24">
            <v>1313728</v>
          </cell>
          <cell r="H24">
            <v>889489</v>
          </cell>
          <cell r="I24">
            <v>699122</v>
          </cell>
          <cell r="J24">
            <v>791057</v>
          </cell>
        </row>
        <row r="25">
          <cell r="G25">
            <v>2432291</v>
          </cell>
          <cell r="H25">
            <v>606588</v>
          </cell>
          <cell r="I25">
            <v>170000</v>
          </cell>
          <cell r="J25">
            <v>75000</v>
          </cell>
        </row>
        <row r="27">
          <cell r="G27">
            <v>697308721</v>
          </cell>
          <cell r="H27">
            <v>701376968</v>
          </cell>
          <cell r="I27">
            <v>670047849</v>
          </cell>
          <cell r="J27">
            <v>737431283</v>
          </cell>
        </row>
        <row r="33">
          <cell r="G33">
            <v>-14610</v>
          </cell>
          <cell r="H33">
            <v>68622</v>
          </cell>
          <cell r="I33">
            <v>80947</v>
          </cell>
          <cell r="J33">
            <v>282915</v>
          </cell>
        </row>
        <row r="37">
          <cell r="G37">
            <v>750000</v>
          </cell>
          <cell r="I37">
            <v>1990000</v>
          </cell>
          <cell r="J37">
            <v>5329000</v>
          </cell>
        </row>
        <row r="38">
          <cell r="G38">
            <v>1524572</v>
          </cell>
          <cell r="H38">
            <v>1298135</v>
          </cell>
          <cell r="I38">
            <v>1186496</v>
          </cell>
          <cell r="J38">
            <v>1935600</v>
          </cell>
        </row>
        <row r="46">
          <cell r="G46">
            <v>1740174</v>
          </cell>
          <cell r="H46">
            <v>1195005</v>
          </cell>
          <cell r="I46">
            <v>1192648</v>
          </cell>
          <cell r="J46">
            <v>2006472</v>
          </cell>
        </row>
        <row r="47">
          <cell r="G47">
            <v>5482131</v>
          </cell>
          <cell r="H47">
            <v>5080582</v>
          </cell>
          <cell r="I47">
            <v>10903503</v>
          </cell>
          <cell r="J47">
            <v>7589681</v>
          </cell>
        </row>
        <row r="50">
          <cell r="G50">
            <v>1628274</v>
          </cell>
          <cell r="H50">
            <v>123516</v>
          </cell>
          <cell r="I50">
            <v>825130</v>
          </cell>
          <cell r="J50">
            <v>323275</v>
          </cell>
        </row>
        <row r="51">
          <cell r="G51">
            <v>5326650</v>
          </cell>
          <cell r="H51">
            <v>12457254</v>
          </cell>
          <cell r="I51">
            <v>5045602</v>
          </cell>
          <cell r="J51">
            <v>6756228</v>
          </cell>
        </row>
        <row r="58">
          <cell r="G58">
            <v>-4337863</v>
          </cell>
          <cell r="H58">
            <v>13056066</v>
          </cell>
          <cell r="I58">
            <v>9118554</v>
          </cell>
          <cell r="J58">
            <v>7755828</v>
          </cell>
        </row>
        <row r="73">
          <cell r="D73">
            <v>2509</v>
          </cell>
          <cell r="E73">
            <v>2475</v>
          </cell>
          <cell r="F73">
            <v>2315</v>
          </cell>
          <cell r="G73">
            <v>2276</v>
          </cell>
        </row>
      </sheetData>
      <sheetData sheetId="1"/>
      <sheetData sheetId="2">
        <row r="5">
          <cell r="C5">
            <v>685045517</v>
          </cell>
          <cell r="D5">
            <v>734333739</v>
          </cell>
          <cell r="E5">
            <v>688314986</v>
          </cell>
          <cell r="F5">
            <v>743705434</v>
          </cell>
        </row>
        <row r="13">
          <cell r="C13">
            <v>138977230</v>
          </cell>
          <cell r="D13">
            <v>193454490</v>
          </cell>
          <cell r="E13">
            <v>161239524</v>
          </cell>
          <cell r="F13">
            <v>151328778</v>
          </cell>
        </row>
        <row r="19">
          <cell r="C19">
            <v>118877567</v>
          </cell>
          <cell r="D19">
            <v>120162515</v>
          </cell>
          <cell r="E19">
            <v>116704446</v>
          </cell>
          <cell r="F19">
            <v>116300455</v>
          </cell>
        </row>
        <row r="20">
          <cell r="C20">
            <v>9544598</v>
          </cell>
          <cell r="D20">
            <v>61187310</v>
          </cell>
          <cell r="E20">
            <v>37360862</v>
          </cell>
          <cell r="F20">
            <v>27948415</v>
          </cell>
        </row>
        <row r="25">
          <cell r="C25">
            <v>-5706813</v>
          </cell>
          <cell r="D25">
            <v>36181114</v>
          </cell>
          <cell r="E25">
            <v>22440468</v>
          </cell>
          <cell r="F25">
            <v>14906586</v>
          </cell>
        </row>
        <row r="30">
          <cell r="C30">
            <v>-4337863</v>
          </cell>
          <cell r="D30">
            <v>13056066</v>
          </cell>
          <cell r="E30">
            <v>9118554</v>
          </cell>
          <cell r="F30">
            <v>7755828</v>
          </cell>
        </row>
      </sheetData>
      <sheetData sheetId="3">
        <row r="10">
          <cell r="C10">
            <v>138977230</v>
          </cell>
          <cell r="D10">
            <v>193454490</v>
          </cell>
          <cell r="E10">
            <v>161239524</v>
          </cell>
          <cell r="F10">
            <v>151328778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4097-0997-4E44-9B5D-8D0EE68D4F28}">
  <dimension ref="A2:K35"/>
  <sheetViews>
    <sheetView tabSelected="1" workbookViewId="0">
      <selection activeCell="G8" sqref="G8"/>
    </sheetView>
  </sheetViews>
  <sheetFormatPr baseColWidth="10" defaultRowHeight="15"/>
  <cols>
    <col min="1" max="1" width="2" bestFit="1" customWidth="1"/>
    <col min="2" max="2" width="59.42578125" bestFit="1" customWidth="1"/>
    <col min="3" max="6" width="12.85546875" bestFit="1" customWidth="1"/>
    <col min="8" max="11" width="11" bestFit="1" customWidth="1"/>
  </cols>
  <sheetData>
    <row r="2" spans="2:11" ht="15.75">
      <c r="B2" s="1" t="s">
        <v>0</v>
      </c>
    </row>
    <row r="3" spans="2:11" ht="15.75">
      <c r="B3" s="2"/>
    </row>
    <row r="4" spans="2:11" ht="30">
      <c r="B4" s="3"/>
      <c r="C4" s="3">
        <v>2019</v>
      </c>
      <c r="D4" s="3">
        <v>2020</v>
      </c>
      <c r="E4" s="3">
        <v>2021</v>
      </c>
      <c r="F4" s="3">
        <v>2022</v>
      </c>
      <c r="H4" s="4" t="s">
        <v>1</v>
      </c>
      <c r="I4" s="4" t="s">
        <v>2</v>
      </c>
      <c r="J4" s="4" t="s">
        <v>3</v>
      </c>
      <c r="K4" s="4" t="s">
        <v>4</v>
      </c>
    </row>
    <row r="5" spans="2:11" ht="15.75">
      <c r="B5" s="3" t="s">
        <v>5</v>
      </c>
      <c r="C5" s="5">
        <v>685045517</v>
      </c>
      <c r="D5" s="5">
        <v>734333739</v>
      </c>
      <c r="E5" s="5">
        <v>688314986</v>
      </c>
      <c r="F5" s="5">
        <v>743705434</v>
      </c>
      <c r="H5" s="6">
        <f>(D5-C5)/C5</f>
        <v>7.1948827890804229E-2</v>
      </c>
      <c r="I5" s="6">
        <f>(E5-D5)/D5</f>
        <v>-6.2667354849672785E-2</v>
      </c>
      <c r="J5" s="6">
        <f>(F5-E5)/E5</f>
        <v>8.0472529476497551E-2</v>
      </c>
      <c r="K5" s="6">
        <f>(F5-C5)/C5</f>
        <v>8.5629225422695521E-2</v>
      </c>
    </row>
    <row r="6" spans="2:11">
      <c r="B6" s="7" t="s">
        <v>6</v>
      </c>
      <c r="C6" s="5">
        <v>-56352</v>
      </c>
      <c r="D6" s="5">
        <v>-69158</v>
      </c>
      <c r="E6" s="5">
        <v>284157</v>
      </c>
      <c r="F6" s="5">
        <v>2484002</v>
      </c>
      <c r="H6" s="6"/>
      <c r="I6" s="6"/>
      <c r="J6" s="6"/>
      <c r="K6" s="6"/>
    </row>
    <row r="7" spans="2:11">
      <c r="B7" s="7" t="s">
        <v>7</v>
      </c>
      <c r="C7" s="5"/>
      <c r="D7" s="5"/>
      <c r="E7" s="5"/>
      <c r="F7" s="5">
        <v>464000</v>
      </c>
      <c r="H7" s="6"/>
      <c r="I7" s="6"/>
      <c r="J7" s="6"/>
      <c r="K7" s="6"/>
    </row>
    <row r="8" spans="2:11">
      <c r="B8" s="7" t="s">
        <v>8</v>
      </c>
      <c r="C8" s="5">
        <v>58106947</v>
      </c>
      <c r="D8" s="5">
        <v>62924363</v>
      </c>
      <c r="E8" s="5">
        <v>62021573</v>
      </c>
      <c r="F8" s="5">
        <v>72443007</v>
      </c>
      <c r="H8" s="6"/>
      <c r="I8" s="6"/>
      <c r="J8" s="6"/>
      <c r="K8" s="6"/>
    </row>
    <row r="9" spans="2:11" ht="15.75">
      <c r="B9" s="7" t="s">
        <v>9</v>
      </c>
      <c r="C9" s="3"/>
      <c r="D9" s="8"/>
      <c r="E9" s="8"/>
      <c r="F9" s="8"/>
      <c r="H9" s="6"/>
      <c r="I9" s="6"/>
      <c r="J9" s="6"/>
      <c r="K9" s="6"/>
    </row>
    <row r="10" spans="2:11">
      <c r="B10" s="7" t="s">
        <v>10</v>
      </c>
      <c r="C10" s="5">
        <v>312268000</v>
      </c>
      <c r="D10" s="5">
        <v>314839925</v>
      </c>
      <c r="E10" s="5">
        <v>290297907</v>
      </c>
      <c r="F10" s="5">
        <v>361153757</v>
      </c>
      <c r="H10" s="6"/>
      <c r="I10" s="6"/>
      <c r="J10" s="6"/>
      <c r="K10" s="6"/>
    </row>
    <row r="11" spans="2:11">
      <c r="B11" s="7" t="s">
        <v>11</v>
      </c>
      <c r="C11" s="5">
        <v>4769076</v>
      </c>
      <c r="D11" s="5">
        <v>-6213176</v>
      </c>
      <c r="E11" s="5">
        <v>1902718</v>
      </c>
      <c r="F11" s="5">
        <v>-8852973</v>
      </c>
      <c r="H11" s="6"/>
      <c r="I11" s="6"/>
      <c r="J11" s="6"/>
      <c r="K11" s="6"/>
    </row>
    <row r="12" spans="2:11">
      <c r="B12" s="7" t="s">
        <v>12</v>
      </c>
      <c r="C12" s="5">
        <v>170867912</v>
      </c>
      <c r="D12" s="5">
        <v>169258979</v>
      </c>
      <c r="E12" s="5">
        <v>173137421</v>
      </c>
      <c r="F12" s="5">
        <v>170580867</v>
      </c>
      <c r="H12" s="6"/>
      <c r="I12" s="6"/>
      <c r="J12" s="6"/>
      <c r="K12" s="6"/>
    </row>
    <row r="13" spans="2:11" ht="15.75">
      <c r="B13" s="9" t="s">
        <v>13</v>
      </c>
      <c r="C13" s="10">
        <f>C5+C6+C7-C8-C9-C10-C11-C12</f>
        <v>138977230</v>
      </c>
      <c r="D13" s="10">
        <f>D5+D6+D7-D8-D9-D10-D11-D12</f>
        <v>193454490</v>
      </c>
      <c r="E13" s="10">
        <f>E5+E6+E7-E8-E9-E10-E11-E12</f>
        <v>161239524</v>
      </c>
      <c r="F13" s="10">
        <f>F5+F6+F7-F8-F9-F10-F11-F12</f>
        <v>151328778</v>
      </c>
      <c r="H13" s="6">
        <f>(D13-C13)/C13</f>
        <v>0.39198694635085185</v>
      </c>
      <c r="I13" s="6">
        <f>(E13-D13)/D13</f>
        <v>-0.16652477799817414</v>
      </c>
      <c r="J13" s="6">
        <f>(F13-E13)/E13</f>
        <v>-6.146598398541539E-2</v>
      </c>
      <c r="K13" s="6">
        <f>(F13-C13)/C13</f>
        <v>8.8874616367012063E-2</v>
      </c>
    </row>
    <row r="14" spans="2:11">
      <c r="B14" s="11"/>
      <c r="H14" s="6"/>
      <c r="I14" s="6"/>
      <c r="J14" s="6"/>
      <c r="K14" s="6"/>
    </row>
    <row r="15" spans="2:11" ht="15.75">
      <c r="B15" s="3"/>
      <c r="C15" s="3">
        <v>2019</v>
      </c>
      <c r="D15" s="3">
        <v>2020</v>
      </c>
      <c r="E15" s="3">
        <v>2021</v>
      </c>
      <c r="F15" s="3">
        <v>2022</v>
      </c>
      <c r="H15" s="6"/>
      <c r="I15" s="6"/>
      <c r="J15" s="6"/>
      <c r="K15" s="6"/>
    </row>
    <row r="16" spans="2:11" ht="15.75">
      <c r="B16" s="3" t="s">
        <v>14</v>
      </c>
      <c r="C16" s="3">
        <f>C13</f>
        <v>138977230</v>
      </c>
      <c r="D16" s="3">
        <f>D13</f>
        <v>193454490</v>
      </c>
      <c r="E16" s="3">
        <f>E13</f>
        <v>161239524</v>
      </c>
      <c r="F16" s="3">
        <f>F13</f>
        <v>151328778</v>
      </c>
      <c r="H16" s="6"/>
      <c r="I16" s="6"/>
      <c r="J16" s="6"/>
      <c r="K16" s="6"/>
    </row>
    <row r="17" spans="2:11">
      <c r="B17" s="7" t="s">
        <v>15</v>
      </c>
      <c r="C17" s="5">
        <v>14000</v>
      </c>
      <c r="D17" s="5">
        <v>6000</v>
      </c>
      <c r="E17" s="5">
        <v>538113</v>
      </c>
      <c r="F17" s="5">
        <v>306481</v>
      </c>
      <c r="H17" s="6"/>
      <c r="I17" s="6"/>
      <c r="J17" s="6"/>
      <c r="K17" s="6"/>
    </row>
    <row r="18" spans="2:11">
      <c r="B18" s="7" t="s">
        <v>16</v>
      </c>
      <c r="C18" s="5">
        <v>10569065</v>
      </c>
      <c r="D18" s="5">
        <v>12110665</v>
      </c>
      <c r="E18" s="5">
        <v>7712329</v>
      </c>
      <c r="F18" s="5">
        <v>7386389</v>
      </c>
      <c r="H18" s="6"/>
      <c r="I18" s="6"/>
      <c r="J18" s="6"/>
      <c r="K18" s="6"/>
    </row>
    <row r="19" spans="2:11">
      <c r="B19" s="7" t="s">
        <v>17</v>
      </c>
      <c r="C19" s="5">
        <f>'[1]Annexe 1 Cptes résultat'!G20+'[1]Annexe 1 Cptes résultat'!G21</f>
        <v>118877567</v>
      </c>
      <c r="D19" s="5">
        <f>'[1]Annexe 1 Cptes résultat'!H20+'[1]Annexe 1 Cptes résultat'!H21</f>
        <v>120162515</v>
      </c>
      <c r="E19" s="5">
        <f>'[1]Annexe 1 Cptes résultat'!I20+'[1]Annexe 1 Cptes résultat'!I21</f>
        <v>116704446</v>
      </c>
      <c r="F19" s="5">
        <f>'[1]Annexe 1 Cptes résultat'!J20+'[1]Annexe 1 Cptes résultat'!J21</f>
        <v>116300455</v>
      </c>
      <c r="H19" s="6"/>
      <c r="I19" s="6"/>
      <c r="J19" s="6"/>
      <c r="K19" s="6"/>
    </row>
    <row r="20" spans="2:11" ht="15.75">
      <c r="B20" s="9" t="s">
        <v>18</v>
      </c>
      <c r="C20" s="9">
        <f>C16+C17-C18-C19</f>
        <v>9544598</v>
      </c>
      <c r="D20" s="9">
        <f>D16+D17-D18-D19</f>
        <v>61187310</v>
      </c>
      <c r="E20" s="9">
        <f>E16+E17-E18-E19</f>
        <v>37360862</v>
      </c>
      <c r="F20" s="9">
        <f>F16+F17-F18-F19</f>
        <v>27948415</v>
      </c>
      <c r="H20" s="6">
        <f>(D20-C20)/C20</f>
        <v>5.4106743940394351</v>
      </c>
      <c r="I20" s="6">
        <f>(E20-D20)/D20</f>
        <v>-0.38940178935795672</v>
      </c>
      <c r="J20" s="6">
        <f>(F20-E20)/E20</f>
        <v>-0.25193334671989098</v>
      </c>
      <c r="K20" s="6">
        <f>(F20-C20)/C20</f>
        <v>1.9281919469002256</v>
      </c>
    </row>
    <row r="21" spans="2:11">
      <c r="B21" s="11"/>
      <c r="H21" s="6"/>
      <c r="I21" s="6"/>
      <c r="J21" s="6"/>
      <c r="K21" s="6"/>
    </row>
    <row r="22" spans="2:11" ht="15.75">
      <c r="B22" s="12"/>
      <c r="C22" s="3">
        <v>2019</v>
      </c>
      <c r="D22" s="3">
        <v>2020</v>
      </c>
      <c r="E22" s="3">
        <v>2021</v>
      </c>
      <c r="F22" s="3">
        <v>2022</v>
      </c>
      <c r="H22" s="6"/>
      <c r="I22" s="6"/>
      <c r="J22" s="6"/>
      <c r="K22" s="6"/>
    </row>
    <row r="23" spans="2:11">
      <c r="B23" s="13" t="s">
        <v>19</v>
      </c>
      <c r="C23" s="14">
        <f>'[1]Annexe 1 Cptes résultat'!G13</f>
        <v>691601908</v>
      </c>
      <c r="D23" s="14">
        <f>'[1]Annexe 1 Cptes résultat'!H13</f>
        <v>737558082</v>
      </c>
      <c r="E23" s="14">
        <f>'[1]Annexe 1 Cptes résultat'!I13</f>
        <v>692488317</v>
      </c>
      <c r="F23" s="14">
        <f>'[1]Annexe 1 Cptes résultat'!J13</f>
        <v>752337869</v>
      </c>
      <c r="H23" s="6"/>
      <c r="I23" s="6"/>
      <c r="J23" s="6"/>
      <c r="K23" s="6"/>
    </row>
    <row r="24" spans="2:11">
      <c r="B24" s="13" t="s">
        <v>20</v>
      </c>
      <c r="C24" s="14">
        <f>'[1]Annexe 1 Cptes résultat'!G27</f>
        <v>697308721</v>
      </c>
      <c r="D24" s="14">
        <f>'[1]Annexe 1 Cptes résultat'!H27</f>
        <v>701376968</v>
      </c>
      <c r="E24" s="14">
        <f>'[1]Annexe 1 Cptes résultat'!I27</f>
        <v>670047849</v>
      </c>
      <c r="F24" s="14">
        <f>'[1]Annexe 1 Cptes résultat'!J27</f>
        <v>737431283</v>
      </c>
      <c r="H24" s="6"/>
      <c r="I24" s="6"/>
      <c r="J24" s="6"/>
      <c r="K24" s="6"/>
    </row>
    <row r="25" spans="2:11" ht="15.75">
      <c r="B25" s="15" t="s">
        <v>21</v>
      </c>
      <c r="C25" s="16">
        <f>C23-C24</f>
        <v>-5706813</v>
      </c>
      <c r="D25" s="16">
        <f>D23-D24</f>
        <v>36181114</v>
      </c>
      <c r="E25" s="16">
        <f>E23-E24</f>
        <v>22440468</v>
      </c>
      <c r="F25" s="16">
        <f>F23-F24</f>
        <v>14906586</v>
      </c>
      <c r="H25" s="6">
        <f>(D25-C25)/C25</f>
        <v>-7.3399859080716325</v>
      </c>
      <c r="I25" s="6">
        <f>(E25-D25)/D25</f>
        <v>-0.37977398926965045</v>
      </c>
      <c r="J25" s="6">
        <f>(F25-E25)/E25</f>
        <v>-0.33572749017533859</v>
      </c>
      <c r="K25" s="6">
        <f>(F25-C25)/C25</f>
        <v>-3.6120684171708448</v>
      </c>
    </row>
    <row r="26" spans="2:11" ht="15.75">
      <c r="B26" s="17"/>
      <c r="H26" s="6"/>
      <c r="I26" s="6"/>
      <c r="J26" s="6"/>
      <c r="K26" s="6"/>
    </row>
    <row r="27" spans="2:11" ht="15.75">
      <c r="B27" s="18" t="s">
        <v>22</v>
      </c>
      <c r="H27" s="6"/>
      <c r="I27" s="6"/>
      <c r="J27" s="6"/>
      <c r="K27" s="6"/>
    </row>
    <row r="28" spans="2:11" ht="15.75">
      <c r="B28" s="18"/>
      <c r="H28" s="6"/>
      <c r="I28" s="6"/>
      <c r="J28" s="6"/>
      <c r="K28" s="6"/>
    </row>
    <row r="29" spans="2:11" ht="15.75">
      <c r="B29" s="19"/>
      <c r="C29" s="3">
        <v>2019</v>
      </c>
      <c r="D29" s="3">
        <v>2020</v>
      </c>
      <c r="E29" s="3">
        <v>2021</v>
      </c>
      <c r="F29" s="3">
        <v>2022</v>
      </c>
      <c r="H29" s="6"/>
      <c r="I29" s="6"/>
      <c r="J29" s="6"/>
      <c r="K29" s="6"/>
    </row>
    <row r="30" spans="2:11" ht="15.75">
      <c r="B30" s="12" t="s">
        <v>23</v>
      </c>
      <c r="C30" s="20">
        <f>'[1]Annexe 1 Cptes résultat'!G58</f>
        <v>-4337863</v>
      </c>
      <c r="D30" s="20">
        <f>'[1]Annexe 1 Cptes résultat'!H58</f>
        <v>13056066</v>
      </c>
      <c r="E30" s="20">
        <f>'[1]Annexe 1 Cptes résultat'!I58</f>
        <v>9118554</v>
      </c>
      <c r="F30" s="20">
        <f>'[1]Annexe 1 Cptes résultat'!J58</f>
        <v>7755828</v>
      </c>
      <c r="H30" s="6"/>
      <c r="I30" s="6"/>
      <c r="J30" s="6"/>
      <c r="K30" s="6"/>
    </row>
    <row r="31" spans="2:11" ht="15.75">
      <c r="B31" s="13" t="s">
        <v>24</v>
      </c>
      <c r="C31" s="12">
        <f>'[1]Annexe 1 Cptes résultat'!G22+'[1]Annexe 1 Cptes résultat'!G23+'[1]Annexe 1 Cptes résultat'!G24+'[1]Annexe 1 Cptes résultat'!G25+'[1]Annexe 1 Cptes résultat'!G37+'[1]Annexe 1 Cptes résultat'!G51</f>
        <v>27489599</v>
      </c>
      <c r="D31" s="12">
        <f>'[1]Annexe 1 Cptes résultat'!H22+'[1]Annexe 1 Cptes résultat'!H23+'[1]Annexe 1 Cptes résultat'!H24+'[1]Annexe 1 Cptes résultat'!H25+'[1]Annexe 1 Cptes résultat'!H37+'[1]Annexe 1 Cptes résultat'!H51</f>
        <v>31803447</v>
      </c>
      <c r="E31" s="12">
        <f>'[1]Annexe 1 Cptes résultat'!I22+'[1]Annexe 1 Cptes résultat'!I23+'[1]Annexe 1 Cptes résultat'!I24+'[1]Annexe 1 Cptes résultat'!I25+'[1]Annexe 1 Cptes résultat'!I37+'[1]Annexe 1 Cptes résultat'!I51</f>
        <v>24814130</v>
      </c>
      <c r="F31" s="12">
        <f>'[1]Annexe 1 Cptes résultat'!J22+'[1]Annexe 1 Cptes résultat'!J23+'[1]Annexe 1 Cptes résultat'!J24+'[1]Annexe 1 Cptes résultat'!J25+'[1]Annexe 1 Cptes résultat'!J37+'[1]Annexe 1 Cptes résultat'!J51</f>
        <v>29379319</v>
      </c>
      <c r="H31" s="6"/>
      <c r="I31" s="6"/>
      <c r="J31" s="6"/>
      <c r="K31" s="6"/>
    </row>
    <row r="32" spans="2:11" ht="15.75">
      <c r="B32" s="13" t="s">
        <v>25</v>
      </c>
      <c r="C32" s="12">
        <f>'[1]Annexe 1 Cptes résultat'!G11+'[1]Annexe 1 Cptes résultat'!G33+'[1]Annexe 1 Cptes résultat'!G47</f>
        <v>11634632</v>
      </c>
      <c r="D32" s="12">
        <f>'[1]Annexe 1 Cptes résultat'!H11+'[1]Annexe 1 Cptes résultat'!H33+'[1]Annexe 1 Cptes résultat'!H47</f>
        <v>8282497</v>
      </c>
      <c r="E32" s="12">
        <f>'[1]Annexe 1 Cptes résultat'!I11+'[1]Annexe 1 Cptes résultat'!I33+'[1]Annexe 1 Cptes résultat'!I47</f>
        <v>14250847</v>
      </c>
      <c r="F32" s="12">
        <f>'[1]Annexe 1 Cptes résultat'!J11+'[1]Annexe 1 Cptes résultat'!J33+'[1]Annexe 1 Cptes résultat'!J47</f>
        <v>13087418</v>
      </c>
      <c r="H32" s="6"/>
      <c r="I32" s="6"/>
      <c r="J32" s="6"/>
      <c r="K32" s="6"/>
    </row>
    <row r="33" spans="1:11" ht="15.75">
      <c r="A33" s="21" t="s">
        <v>26</v>
      </c>
      <c r="B33" s="13" t="s">
        <v>27</v>
      </c>
      <c r="C33" s="12">
        <f>'[1]Annexe 1 Cptes résultat'!G46-'[1]Annexe 1 Cptes résultat'!G50</f>
        <v>111900</v>
      </c>
      <c r="D33" s="12">
        <f>'[1]Annexe 1 Cptes résultat'!H46-'[1]Annexe 1 Cptes résultat'!H50</f>
        <v>1071489</v>
      </c>
      <c r="E33" s="12">
        <f>'[1]Annexe 1 Cptes résultat'!I46-'[1]Annexe 1 Cptes résultat'!I50</f>
        <v>367518</v>
      </c>
      <c r="F33" s="12">
        <f>'[1]Annexe 1 Cptes résultat'!J46-'[1]Annexe 1 Cptes résultat'!J50</f>
        <v>1683197</v>
      </c>
      <c r="H33" s="6"/>
      <c r="I33" s="6"/>
      <c r="J33" s="6"/>
      <c r="K33" s="6"/>
    </row>
    <row r="34" spans="1:11" ht="15.75">
      <c r="B34" s="15" t="s">
        <v>28</v>
      </c>
      <c r="C34" s="22">
        <f>C30+C31-C32-C33</f>
        <v>11405204</v>
      </c>
      <c r="D34" s="22">
        <f>D30+D31-D32-D33</f>
        <v>35505527</v>
      </c>
      <c r="E34" s="22">
        <f>E30+E31-E32-E33</f>
        <v>19314319</v>
      </c>
      <c r="F34" s="22">
        <f>F30+F31-F32-F33</f>
        <v>22364532</v>
      </c>
      <c r="H34" s="6">
        <f>(D34-C34)/C34</f>
        <v>2.1130988099818295</v>
      </c>
      <c r="I34" s="6">
        <f>(E34-D34)/D34</f>
        <v>-0.45601936847747676</v>
      </c>
      <c r="J34" s="6">
        <f>(F34-E34)/E34</f>
        <v>0.15792495712636825</v>
      </c>
      <c r="K34" s="6">
        <f>(F34-C34)/C34</f>
        <v>0.96090591628172539</v>
      </c>
    </row>
    <row r="35" spans="1:11">
      <c r="B35" s="2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5538-6674-486C-9393-74E8E9518872}">
  <dimension ref="A1:I35"/>
  <sheetViews>
    <sheetView topLeftCell="A16" workbookViewId="0">
      <selection activeCell="J10" sqref="J10"/>
    </sheetView>
  </sheetViews>
  <sheetFormatPr baseColWidth="10" defaultRowHeight="15"/>
  <cols>
    <col min="1" max="1" width="10.85546875" customWidth="1"/>
    <col min="2" max="2" width="21.85546875" customWidth="1"/>
    <col min="3" max="3" width="22" customWidth="1"/>
    <col min="4" max="4" width="21" customWidth="1"/>
    <col min="5" max="5" width="18.5703125" customWidth="1"/>
    <col min="6" max="6" width="21" customWidth="1"/>
    <col min="7" max="7" width="25.5703125" customWidth="1"/>
    <col min="9" max="9" width="10" bestFit="1" customWidth="1"/>
    <col min="10" max="10" width="6.42578125" bestFit="1" customWidth="1"/>
  </cols>
  <sheetData>
    <row r="1" spans="1:9" ht="15.75">
      <c r="A1" s="24" t="s">
        <v>30</v>
      </c>
    </row>
    <row r="3" spans="1:9" ht="30">
      <c r="B3" s="33"/>
      <c r="C3" s="25">
        <v>2019</v>
      </c>
      <c r="D3" s="25">
        <v>2020</v>
      </c>
      <c r="E3" s="26">
        <v>2021</v>
      </c>
      <c r="F3" s="26">
        <v>2022</v>
      </c>
      <c r="G3" s="27" t="s">
        <v>31</v>
      </c>
    </row>
    <row r="4" spans="1:9">
      <c r="B4" s="34" t="s">
        <v>32</v>
      </c>
      <c r="C4" s="35" t="s">
        <v>33</v>
      </c>
      <c r="D4" s="35"/>
      <c r="E4" s="35"/>
      <c r="F4" s="35"/>
      <c r="G4" s="36"/>
    </row>
    <row r="5" spans="1:9">
      <c r="B5" s="34"/>
      <c r="C5" s="35"/>
      <c r="D5" s="35"/>
      <c r="E5" s="35"/>
      <c r="F5" s="35"/>
      <c r="G5" s="36"/>
    </row>
    <row r="6" spans="1:9" ht="15.75">
      <c r="B6" s="33" t="s">
        <v>34</v>
      </c>
      <c r="C6" s="37">
        <f>'[1]Annexe 3 Calculs Indic de SIG'!C5</f>
        <v>685045517</v>
      </c>
      <c r="D6" s="37">
        <f>'[1]Annexe 3 Calculs Indic de SIG'!D5</f>
        <v>734333739</v>
      </c>
      <c r="E6" s="37">
        <f>'[1]Annexe 3 Calculs Indic de SIG'!E5</f>
        <v>688314986</v>
      </c>
      <c r="F6" s="37">
        <f>'[1]Annexe 3 Calculs Indic de SIG'!F5</f>
        <v>743705434</v>
      </c>
      <c r="G6" s="30" t="s">
        <v>35</v>
      </c>
    </row>
    <row r="7" spans="1:9" ht="30">
      <c r="B7" s="33" t="s">
        <v>36</v>
      </c>
      <c r="C7" s="38">
        <f>'[1]Annexe 1 Cptes résultat'!G4</f>
        <v>19369481</v>
      </c>
      <c r="D7" s="38">
        <f>'[1]Annexe 1 Cptes résultat'!H4</f>
        <v>19540281</v>
      </c>
      <c r="E7" s="38">
        <f>'[1]Annexe 1 Cptes résultat'!I4</f>
        <v>16894443</v>
      </c>
      <c r="F7" s="38">
        <f>'[1]Annexe 1 Cptes résultat'!J4</f>
        <v>14313611</v>
      </c>
      <c r="G7" s="30"/>
    </row>
    <row r="8" spans="1:9" ht="30">
      <c r="B8" s="39" t="s">
        <v>37</v>
      </c>
      <c r="C8" s="38">
        <f>'[1]Annexe 1 Cptes résultat'!G5</f>
        <v>657529251</v>
      </c>
      <c r="D8" s="38">
        <f>'[1]Annexe 1 Cptes résultat'!H5</f>
        <v>706751413</v>
      </c>
      <c r="E8" s="38">
        <f>'[1]Annexe 1 Cptes résultat'!I5</f>
        <v>662285200</v>
      </c>
      <c r="F8" s="38">
        <f>'[1]Annexe 1 Cptes résultat'!J5</f>
        <v>720127270</v>
      </c>
      <c r="G8" s="30"/>
    </row>
    <row r="9" spans="1:9" ht="30">
      <c r="B9" s="39" t="s">
        <v>38</v>
      </c>
      <c r="C9" s="38">
        <f>'[1]Annexe 1 Cptes résultat'!G6</f>
        <v>8146785</v>
      </c>
      <c r="D9" s="38">
        <f>'[1]Annexe 1 Cptes résultat'!H6</f>
        <v>8042046</v>
      </c>
      <c r="E9" s="38">
        <f>'[1]Annexe 1 Cptes résultat'!I6</f>
        <v>9135343</v>
      </c>
      <c r="F9" s="38">
        <f>'[1]Annexe 1 Cptes résultat'!J6</f>
        <v>9264552</v>
      </c>
      <c r="G9" s="30"/>
    </row>
    <row r="10" spans="1:9" ht="15.75">
      <c r="B10" s="33" t="s">
        <v>14</v>
      </c>
      <c r="C10" s="38">
        <f>'[1]Annexe 3 Calculs Indic de SIG'!C13</f>
        <v>138977230</v>
      </c>
      <c r="D10" s="38">
        <f>'[1]Annexe 3 Calculs Indic de SIG'!D13</f>
        <v>193454490</v>
      </c>
      <c r="E10" s="38">
        <f>'[1]Annexe 3 Calculs Indic de SIG'!E13</f>
        <v>161239524</v>
      </c>
      <c r="F10" s="38">
        <f>'[1]Annexe 3 Calculs Indic de SIG'!F13</f>
        <v>151328778</v>
      </c>
      <c r="G10" s="30"/>
      <c r="I10" s="28"/>
    </row>
    <row r="11" spans="1:9" ht="15.75">
      <c r="B11" s="33" t="s">
        <v>39</v>
      </c>
      <c r="C11" s="38">
        <f>'[1]Annexe 3 Calculs Indic de SIG'!C20</f>
        <v>9544598</v>
      </c>
      <c r="D11" s="38">
        <f>'[1]Annexe 3 Calculs Indic de SIG'!D20</f>
        <v>61187310</v>
      </c>
      <c r="E11" s="38">
        <f>'[1]Annexe 3 Calculs Indic de SIG'!E20</f>
        <v>37360862</v>
      </c>
      <c r="F11" s="38">
        <f>'[1]Annexe 3 Calculs Indic de SIG'!F20</f>
        <v>27948415</v>
      </c>
      <c r="G11" s="30"/>
    </row>
    <row r="12" spans="1:9" ht="15.75">
      <c r="B12" s="33" t="s">
        <v>40</v>
      </c>
      <c r="C12" s="38">
        <f>'[1]Annexe 3 Calculs Indic de SIG'!C25</f>
        <v>-5706813</v>
      </c>
      <c r="D12" s="38">
        <f>'[1]Annexe 3 Calculs Indic de SIG'!D25</f>
        <v>36181114</v>
      </c>
      <c r="E12" s="38">
        <f>'[1]Annexe 3 Calculs Indic de SIG'!E25</f>
        <v>22440468</v>
      </c>
      <c r="F12" s="38">
        <f>'[1]Annexe 3 Calculs Indic de SIG'!F25</f>
        <v>14906586</v>
      </c>
      <c r="G12" s="30"/>
    </row>
    <row r="13" spans="1:9" ht="15.75">
      <c r="B13" s="33" t="s">
        <v>41</v>
      </c>
      <c r="C13" s="32">
        <f>'[1]Annexe 3 Calculs Indic de SIG'!C30</f>
        <v>-4337863</v>
      </c>
      <c r="D13" s="32">
        <f>'[1]Annexe 3 Calculs Indic de SIG'!D30</f>
        <v>13056066</v>
      </c>
      <c r="E13" s="32">
        <f>'[1]Annexe 3 Calculs Indic de SIG'!E30</f>
        <v>9118554</v>
      </c>
      <c r="F13" s="32">
        <f>'[1]Annexe 3 Calculs Indic de SIG'!F30</f>
        <v>7755828</v>
      </c>
      <c r="G13" s="30"/>
    </row>
    <row r="14" spans="1:9" ht="15.75">
      <c r="B14" s="33" t="s">
        <v>42</v>
      </c>
      <c r="C14" s="29">
        <v>11405204</v>
      </c>
      <c r="D14" s="29">
        <v>35505527</v>
      </c>
      <c r="E14" s="29">
        <v>19314319</v>
      </c>
      <c r="F14" s="29">
        <v>22364532</v>
      </c>
      <c r="G14" s="30"/>
    </row>
    <row r="15" spans="1:9" ht="15.75">
      <c r="B15" s="33"/>
      <c r="C15" s="31"/>
      <c r="D15" s="31"/>
      <c r="E15" s="31"/>
      <c r="F15" s="31"/>
      <c r="G15" s="30"/>
    </row>
    <row r="16" spans="1:9" ht="15.75">
      <c r="B16" s="34" t="s">
        <v>43</v>
      </c>
      <c r="C16" s="40"/>
      <c r="D16" s="40"/>
      <c r="E16" s="36"/>
      <c r="F16" s="36"/>
      <c r="G16" s="30"/>
    </row>
    <row r="17" spans="2:7" ht="15.75">
      <c r="B17" s="33"/>
      <c r="C17" s="40"/>
      <c r="D17" s="40"/>
      <c r="E17" s="36"/>
      <c r="F17" s="36"/>
      <c r="G17" s="30"/>
    </row>
    <row r="18" spans="2:7" ht="15.75">
      <c r="B18" s="33" t="s">
        <v>44</v>
      </c>
      <c r="C18" s="41">
        <f>C10/C6</f>
        <v>0.20287298661353037</v>
      </c>
      <c r="D18" s="41">
        <f>D10/D6</f>
        <v>0.26344219218831233</v>
      </c>
      <c r="E18" s="41">
        <f>E10/E6</f>
        <v>0.23425252577604055</v>
      </c>
      <c r="F18" s="41">
        <f>F10/F6</f>
        <v>0.20347945716368129</v>
      </c>
      <c r="G18" s="42">
        <v>0.17199999999999999</v>
      </c>
    </row>
    <row r="19" spans="2:7" ht="15.75">
      <c r="B19" s="33" t="s">
        <v>45</v>
      </c>
      <c r="C19" s="41">
        <f>C11/C6</f>
        <v>1.3932793899299394E-2</v>
      </c>
      <c r="D19" s="41">
        <f>D11/D6</f>
        <v>8.332357176360107E-2</v>
      </c>
      <c r="E19" s="41">
        <f>E11/E6</f>
        <v>5.4278728140316854E-2</v>
      </c>
      <c r="F19" s="41">
        <f>F11/F6</f>
        <v>3.7579952656363137E-2</v>
      </c>
      <c r="G19" s="42">
        <v>4.8000000000000001E-2</v>
      </c>
    </row>
    <row r="20" spans="2:7" ht="30">
      <c r="B20" s="33" t="s">
        <v>46</v>
      </c>
      <c r="C20" s="41">
        <f>C12/C6</f>
        <v>-8.3305603180817544E-3</v>
      </c>
      <c r="D20" s="41">
        <f>D12/D6</f>
        <v>4.9270668196821063E-2</v>
      </c>
      <c r="E20" s="41">
        <f>E12/E6</f>
        <v>3.2602033162764818E-2</v>
      </c>
      <c r="F20" s="41">
        <f>F12/F6</f>
        <v>2.0043669601585833E-2</v>
      </c>
      <c r="G20" s="42"/>
    </row>
    <row r="21" spans="2:7" ht="15.75">
      <c r="B21" s="43" t="s">
        <v>47</v>
      </c>
      <c r="C21" s="41">
        <f>C14/C6</f>
        <v>1.6648826562571314E-2</v>
      </c>
      <c r="D21" s="41">
        <f>D14/D6</f>
        <v>4.8350668251128798E-2</v>
      </c>
      <c r="E21" s="41">
        <f>E14/E6</f>
        <v>2.8060291280655045E-2</v>
      </c>
      <c r="F21" s="41">
        <f>F14/F6</f>
        <v>3.007176091172678E-2</v>
      </c>
      <c r="G21" s="42">
        <v>5.8000000000000003E-2</v>
      </c>
    </row>
    <row r="22" spans="2:7" ht="30">
      <c r="B22" s="33" t="s">
        <v>48</v>
      </c>
      <c r="C22" s="41">
        <f>C13/C6</f>
        <v>-6.332225950469215E-3</v>
      </c>
      <c r="D22" s="41">
        <f>D13/D6</f>
        <v>1.7779471794091159E-2</v>
      </c>
      <c r="E22" s="41">
        <f>E13/E6</f>
        <v>1.3247647059074783E-2</v>
      </c>
      <c r="F22" s="41">
        <f>F13/F6</f>
        <v>1.0428628924069419E-2</v>
      </c>
      <c r="G22" s="42">
        <v>1.2999999999999999E-2</v>
      </c>
    </row>
    <row r="23" spans="2:7" ht="15.75">
      <c r="B23" s="44"/>
      <c r="C23" s="31"/>
      <c r="D23" s="31"/>
      <c r="E23" s="36"/>
      <c r="F23" s="36"/>
      <c r="G23" s="42"/>
    </row>
    <row r="24" spans="2:7" ht="15.75">
      <c r="B24" s="34" t="s">
        <v>49</v>
      </c>
      <c r="C24" s="40"/>
      <c r="D24" s="40"/>
      <c r="E24" s="36"/>
      <c r="F24" s="36"/>
      <c r="G24" s="42"/>
    </row>
    <row r="25" spans="2:7" ht="15.75">
      <c r="B25" s="34"/>
      <c r="C25" s="40"/>
      <c r="D25" s="40"/>
      <c r="E25" s="36"/>
      <c r="F25" s="36"/>
      <c r="G25" s="42"/>
    </row>
    <row r="26" spans="2:7" ht="30">
      <c r="B26" s="33" t="s">
        <v>50</v>
      </c>
      <c r="C26" s="45">
        <f>'[1]Annexe 3 Calculs Indic de SIG'!C19/'[1]Annexe 4 Synthèse Indic Ratios'!C10</f>
        <v>0.85537441637022127</v>
      </c>
      <c r="D26" s="45">
        <f>'[1]Annexe 3 Calculs Indic de SIG'!D19/'[1]Annexe 4 Synthèse Indic Ratios'!D10</f>
        <v>0.62114099807143275</v>
      </c>
      <c r="E26" s="45">
        <f>'[1]Annexe 3 Calculs Indic de SIG'!E19/'[1]Annexe 4 Synthèse Indic Ratios'!E10</f>
        <v>0.72379552546930115</v>
      </c>
      <c r="F26" s="45">
        <f>'[1]Annexe 3 Calculs Indic de SIG'!F19/'[1]Annexe 4 Synthèse Indic Ratios'!F10</f>
        <v>0.76852834296990091</v>
      </c>
      <c r="G26" s="42">
        <v>0.68100000000000005</v>
      </c>
    </row>
    <row r="27" spans="2:7" ht="15.75">
      <c r="B27" s="33" t="s">
        <v>51</v>
      </c>
      <c r="C27" s="45">
        <f>'[1]Annexe 1 Cptes résultat'!G38/C10</f>
        <v>1.096994090326883E-2</v>
      </c>
      <c r="D27" s="45">
        <f>'[1]Annexe 1 Cptes résultat'!H38/D10</f>
        <v>6.7102862280425746E-3</v>
      </c>
      <c r="E27" s="45">
        <f>'[1]Annexe 1 Cptes résultat'!I38/E10</f>
        <v>7.3585927976319255E-3</v>
      </c>
      <c r="F27" s="45">
        <f>'[1]Annexe 1 Cptes résultat'!J38/F10</f>
        <v>1.2790693386818996E-2</v>
      </c>
      <c r="G27" s="42"/>
    </row>
    <row r="28" spans="2:7" ht="15.75">
      <c r="B28" s="33" t="s">
        <v>52</v>
      </c>
      <c r="C28" s="46">
        <f>C14/C10</f>
        <v>8.2065270692184611E-2</v>
      </c>
      <c r="D28" s="46">
        <f>D14/D10</f>
        <v>0.18353426172739645</v>
      </c>
      <c r="E28" s="46">
        <f>E14/E10</f>
        <v>0.11978650470340015</v>
      </c>
      <c r="F28" s="46">
        <f>F14/F10</f>
        <v>0.14778769970639688</v>
      </c>
      <c r="G28" s="42">
        <v>0.33400000000000002</v>
      </c>
    </row>
    <row r="29" spans="2:7" ht="15.75">
      <c r="B29" s="33"/>
      <c r="C29" s="45"/>
      <c r="D29" s="45"/>
      <c r="E29" s="45"/>
      <c r="F29" s="45"/>
      <c r="G29" s="42"/>
    </row>
    <row r="30" spans="2:7" ht="30">
      <c r="B30" s="34" t="s">
        <v>53</v>
      </c>
      <c r="C30" s="36"/>
      <c r="D30" s="36"/>
      <c r="E30" s="36"/>
      <c r="F30" s="36"/>
      <c r="G30" s="30"/>
    </row>
    <row r="31" spans="2:7" ht="15.75">
      <c r="B31" s="36"/>
      <c r="C31" s="36"/>
      <c r="D31" s="36"/>
      <c r="E31" s="36"/>
      <c r="F31" s="36"/>
      <c r="G31" s="30"/>
    </row>
    <row r="32" spans="2:7" ht="15.75">
      <c r="B32" s="33" t="s">
        <v>54</v>
      </c>
      <c r="C32" s="47">
        <f>C6/'[1]Annexe 1 Cptes résultat'!D73</f>
        <v>273035.27979274612</v>
      </c>
      <c r="D32" s="47">
        <f>D6/'[1]Annexe 1 Cptes résultat'!E73</f>
        <v>296700.50060606061</v>
      </c>
      <c r="E32" s="47">
        <f>E6/'[1]Annexe 1 Cptes résultat'!F73</f>
        <v>297328.28768898488</v>
      </c>
      <c r="F32" s="47">
        <f>F6/'[1]Annexe 1 Cptes résultat'!G73</f>
        <v>326759.85676625656</v>
      </c>
      <c r="G32" s="30"/>
    </row>
    <row r="33" spans="2:7" ht="15.75">
      <c r="B33" s="33" t="s">
        <v>55</v>
      </c>
      <c r="C33" s="48">
        <f>C10/'[1]Annexe 1 Cptes résultat'!D73</f>
        <v>55391.482662415307</v>
      </c>
      <c r="D33" s="48">
        <f>D10/'[1]Annexe 1 Cptes résultat'!E73</f>
        <v>78163.430303030298</v>
      </c>
      <c r="E33" s="48">
        <f>E10/'[1]Annexe 1 Cptes résultat'!F73</f>
        <v>69649.902375809936</v>
      </c>
      <c r="F33" s="48">
        <f>F10/'[1]Annexe 1 Cptes résultat'!G73</f>
        <v>66488.918277680146</v>
      </c>
      <c r="G33" s="30"/>
    </row>
    <row r="34" spans="2:7" ht="30">
      <c r="B34" s="33" t="s">
        <v>56</v>
      </c>
      <c r="C34" s="48">
        <f>C13/'[1]Annexe 1 Cptes résultat'!D73</f>
        <v>-1728.9210840972498</v>
      </c>
      <c r="D34" s="48">
        <f>D13/'[1]Annexe 1 Cptes résultat'!E73</f>
        <v>5275.1781818181817</v>
      </c>
      <c r="E34" s="48">
        <f>E13/'[1]Annexe 1 Cptes résultat'!F73</f>
        <v>3938.9002159827214</v>
      </c>
      <c r="F34" s="48">
        <f>F13/'[1]Annexe 1 Cptes résultat'!G73</f>
        <v>3407.6572934973638</v>
      </c>
      <c r="G34" s="30"/>
    </row>
    <row r="35" spans="2:7">
      <c r="B35" s="36"/>
      <c r="C35" s="36"/>
      <c r="D35" s="36"/>
      <c r="E35" s="36"/>
      <c r="F35" s="36"/>
      <c r="G35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Annexe 3 Calculs Indic de SIG</vt:lpstr>
      <vt:lpstr>Annexe 4 Synthése Indic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Chirol</dc:creator>
  <cp:lastModifiedBy>Quentin Chirol</cp:lastModifiedBy>
  <dcterms:created xsi:type="dcterms:W3CDTF">2025-05-26T13:02:01Z</dcterms:created>
  <dcterms:modified xsi:type="dcterms:W3CDTF">2025-05-26T13:28:18Z</dcterms:modified>
</cp:coreProperties>
</file>